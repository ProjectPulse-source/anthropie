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SIL\Iref_ECRT\9_Fichiers xlsx\VE-Dossiers-Eclairages\"/>
    </mc:Choice>
  </mc:AlternateContent>
  <xr:revisionPtr revIDLastSave="0" documentId="13_ncr:1_{043BE7D9-F36E-4134-90F8-D72F8F03DA1E}" xr6:coauthVersionLast="47" xr6:coauthVersionMax="47" xr10:uidLastSave="{00000000-0000-0000-0000-000000000000}"/>
  <bookViews>
    <workbookView xWindow="-28920" yWindow="1005" windowWidth="29040" windowHeight="15720" tabRatio="853" xr2:uid="{00000000-000D-0000-FFFF-FFFF00000000}"/>
  </bookViews>
  <sheets>
    <sheet name="Sommaire" sheetId="1" r:id="rId1"/>
    <sheet name="Figure 1" sheetId="2" r:id="rId2"/>
    <sheet name="Figure 2" sheetId="3" r:id="rId3"/>
    <sheet name="Figure 3" sheetId="5" r:id="rId4"/>
    <sheet name="Figure 4" sheetId="6" r:id="rId5"/>
    <sheet name="Figure 5" sheetId="7" r:id="rId6"/>
    <sheet name="Figure 6" sheetId="8" r:id="rId7"/>
    <sheet name="Figure 7" sheetId="9" r:id="rId8"/>
    <sheet name="Figure 8" sheetId="10" r:id="rId9"/>
    <sheet name="Méthodes – Figure" sheetId="11" r:id="rId10"/>
    <sheet name="Encadré 2 – Figure" sheetId="12" r:id="rId11"/>
    <sheet name="Encadré 3 – Figure A" sheetId="13" r:id="rId12"/>
    <sheet name="Encadré 3 – Figure B" sheetId="14" r:id="rId13"/>
  </sheets>
  <definedNames>
    <definedName name="_IDX13">#N/A</definedName>
    <definedName name="_IDX19">#N/A</definedName>
    <definedName name="_IDX20">#N/A</definedName>
    <definedName name="_IDX21">#N/A</definedName>
    <definedName name="_IDX22">#N/A</definedName>
    <definedName name="_IDX23">#N/A</definedName>
    <definedName name="_IDX29">#N/A</definedName>
    <definedName name="_IDX30">#N/A</definedName>
    <definedName name="_IDX36">#N/A</definedName>
    <definedName name="_IDX37">#N/A</definedName>
    <definedName name="_IDX38">#N/A</definedName>
    <definedName name="_IDX7">#N/A</definedName>
    <definedName name="DEE" localSheetId="10">#REF!</definedName>
    <definedName name="DEE" localSheetId="11">#REF!</definedName>
    <definedName name="DEE" localSheetId="12">#REF!</definedName>
    <definedName name="DEE" localSheetId="1">#REF!</definedName>
    <definedName name="DEE" localSheetId="2">#REF!</definedName>
    <definedName name="DEE" localSheetId="4">#REF!</definedName>
    <definedName name="DEE" localSheetId="5">#REF!</definedName>
    <definedName name="DEE" localSheetId="9">#REF!</definedName>
    <definedName name="DEE">#REF!</definedName>
    <definedName name="DEFM" localSheetId="10">#REF!</definedName>
    <definedName name="DEFM" localSheetId="11">#REF!</definedName>
    <definedName name="DEFM" localSheetId="12">#REF!</definedName>
    <definedName name="DEFM" localSheetId="1">#REF!</definedName>
    <definedName name="DEFM" localSheetId="2">#REF!</definedName>
    <definedName name="DEFM" localSheetId="4">#REF!</definedName>
    <definedName name="DEFM" localSheetId="5">#REF!</definedName>
    <definedName name="DEFM" localSheetId="9">#REF!</definedName>
    <definedName name="DEFM">#REF!</definedName>
    <definedName name="DES" localSheetId="11">#REF!</definedName>
    <definedName name="DES" localSheetId="12">#REF!</definedName>
    <definedName name="DES" localSheetId="1">#REF!</definedName>
    <definedName name="DES" localSheetId="2">#REF!</definedName>
    <definedName name="DES" localSheetId="4">#REF!</definedName>
    <definedName name="DES" localSheetId="5">#REF!</definedName>
    <definedName name="DES" localSheetId="9">#REF!</definedName>
    <definedName name="DES">#REF!</definedName>
    <definedName name="HTML_1">#N/A</definedName>
    <definedName name="HTML_2">#N/A</definedName>
    <definedName name="HTML_all">#N/A</definedName>
    <definedName name="HTML_tables">#N/A</definedName>
    <definedName name="IDX">#N/A</definedName>
    <definedName name="_xlnm.Print_Area" localSheetId="11">'Encadré 3 – Figure A'!#REF!</definedName>
    <definedName name="_xlnm.Print_Area" localSheetId="12">'Encadré 3 – Figure B'!#REF!</definedName>
    <definedName name="_xlnm.Print_Area" localSheetId="1">'Figure 1'!#REF!</definedName>
    <definedName name="_xlnm.Print_Area" localSheetId="2">'Figure 2'!#REF!</definedName>
    <definedName name="_xlnm.Print_Area" localSheetId="3">'Figure 3'!#REF!</definedName>
    <definedName name="_xlnm.Print_Area" localSheetId="4">'Figure 4'!#REF!</definedName>
    <definedName name="_xlnm.Print_Area" localSheetId="5">'Figure 5'!#REF!</definedName>
    <definedName name="_xlnm.Print_Area" localSheetId="6">'Figure 6'!#REF!</definedName>
    <definedName name="_xlnm.Print_Area" localSheetId="7">'Figure 7'!#REF!</definedName>
    <definedName name="_xlnm.Print_Area" localSheetId="9">'Méthodes – Figure'!#REF!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25" i="1" l="1"/>
  <c r="A23" i="1"/>
  <c r="A21" i="1"/>
  <c r="A19" i="1"/>
  <c r="A17" i="1"/>
  <c r="A15" i="1"/>
  <c r="A13" i="1"/>
  <c r="A11" i="1"/>
  <c r="A9" i="1"/>
  <c r="A7" i="1"/>
  <c r="A5" i="1"/>
  <c r="A3" i="1"/>
  <c r="C3" i="2"/>
  <c r="D3" i="2" s="1"/>
  <c r="E3" i="2" s="1"/>
  <c r="F3" i="2" s="1"/>
  <c r="G3" i="2" s="1"/>
  <c r="H3" i="2" s="1"/>
  <c r="I3" i="2" s="1"/>
  <c r="J3" i="2" s="1"/>
  <c r="K3" i="2" s="1"/>
  <c r="L3" i="2" s="1"/>
  <c r="M3" i="2" s="1"/>
  <c r="N3" i="2" s="1"/>
  <c r="O3" i="2" s="1"/>
</calcChain>
</file>

<file path=xl/sharedStrings.xml><?xml version="1.0" encoding="utf-8"?>
<sst xmlns="http://schemas.openxmlformats.org/spreadsheetml/2006/main" count="433" uniqueCount="204">
  <si>
    <t>en millions de personnes, en moyenne sur l’année</t>
  </si>
  <si>
    <t>Catégorie</t>
  </si>
  <si>
    <t>Chômeurs au sens du BIT</t>
  </si>
  <si>
    <t>Catégorie A</t>
  </si>
  <si>
    <t>Catégorie B</t>
  </si>
  <si>
    <t>Catégorie C</t>
  </si>
  <si>
    <t>Catégorie D</t>
  </si>
  <si>
    <t>Catégorie E</t>
  </si>
  <si>
    <t>Non inscrits</t>
  </si>
  <si>
    <t>Ensemble</t>
  </si>
  <si>
    <t>En milliers de personnes</t>
  </si>
  <si>
    <t>En emploi</t>
  </si>
  <si>
    <t>Chômeur</t>
  </si>
  <si>
    <t>Inactif dans le halo</t>
  </si>
  <si>
    <t>Inactif hors halo</t>
  </si>
  <si>
    <t>Statut d'activité au sens du BIT</t>
  </si>
  <si>
    <t>Source : Dares-Insee-France Travail, appariement du Fichier historique statistique et de l'enquête Emploi.</t>
  </si>
  <si>
    <t>en %</t>
  </si>
  <si>
    <t>Caractéristiques</t>
  </si>
  <si>
    <t>Inscrits en catégorie A et non chômeurs</t>
  </si>
  <si>
    <t>Inscrits en catégorie A</t>
  </si>
  <si>
    <t>Nombre d'individus (en milliers)</t>
  </si>
  <si>
    <t>En part de la catégorie A</t>
  </si>
  <si>
    <t>///</t>
  </si>
  <si>
    <t>Femmes</t>
  </si>
  <si>
    <t>Hommes</t>
  </si>
  <si>
    <t>De 25 à 49 ans</t>
  </si>
  <si>
    <t>De 50 à 64 ans</t>
  </si>
  <si>
    <t>Se déclare spontanément chômeur</t>
  </si>
  <si>
    <t>Se déclare spontanément en emploi</t>
  </si>
  <si>
    <t>Se déclare spontanément inactif</t>
  </si>
  <si>
    <t>Se déclare inscrit à France Travail</t>
  </si>
  <si>
    <t>En CDI</t>
  </si>
  <si>
    <t>En CDD ou en intérim</t>
  </si>
  <si>
    <t>En alternance</t>
  </si>
  <si>
    <t>Non-salarié, dont :</t>
  </si>
  <si>
    <t>Micro-entrepreneur</t>
  </si>
  <si>
    <t>1. L’ancienneté est mesurée par la durée pendant laquelle la personne a été inscrite à France Travail de façon continue, selon trois groupes : catégorie A, B ou C, catégorie D, catégorie E. Une sortie d’au moins un jour de l'un de ces trois groupes réinitialise l’ancienneté.</t>
  </si>
  <si>
    <t>2. Nature actuelle de l'emploi pour les personnes en emploi au moment de l'enquête, antérieure pour les personnes inactives ou au chômage au moment de l'enquête et ayant déjà travaillé. L'information relative aux micro-entrepreneurs n'est disponible que pour les personnes actuellement en emploi.</t>
  </si>
  <si>
    <t>Halo autour du chômage</t>
  </si>
  <si>
    <t>Inactivité hors halo</t>
  </si>
  <si>
    <t>Catégories B à E</t>
  </si>
  <si>
    <t>Non 
inscrits</t>
  </si>
  <si>
    <t>En part de la classe d'âge</t>
  </si>
  <si>
    <t>En part de la catégorie d'inscription</t>
  </si>
  <si>
    <t>En part du statut d'activité</t>
  </si>
  <si>
    <t>Composantes du halo du chômage</t>
  </si>
  <si>
    <t>A recherché, mais n'est pas disponible</t>
  </si>
  <si>
    <t>Souhaite travailler, mais n'est pas disponible et n'a pas recherché</t>
  </si>
  <si>
    <t>Motif d’inactivité</t>
  </si>
  <si>
    <t>Invalidité, problèmes de santé</t>
  </si>
  <si>
    <t>S’occuper de sa famille, de son foyer</t>
  </si>
  <si>
    <t>Retraite</t>
  </si>
  <si>
    <t>Études, formations</t>
  </si>
  <si>
    <t>Découragement</t>
  </si>
  <si>
    <t>Autres motifs ou motifs non renseignés</t>
  </si>
  <si>
    <t>1. Vacances, déménagement, attente de résultats de démarches antérieures, maladie de courte durée.</t>
  </si>
  <si>
    <t>en % de la situation en T, en moyenne sur l’année 2024</t>
  </si>
  <si>
    <t>Situation au trimestre T</t>
  </si>
  <si>
    <t>Chômage</t>
  </si>
  <si>
    <t>Emploi</t>
  </si>
  <si>
    <t>Catégorie B ou C</t>
  </si>
  <si>
    <t>Catégorie D ou E</t>
  </si>
  <si>
    <t>Non inscrit</t>
  </si>
  <si>
    <t>Catégorie B, C ou E</t>
  </si>
  <si>
    <t>Catégorie B, C, D ou E</t>
  </si>
  <si>
    <t>Chômeurs et catégorie A</t>
  </si>
  <si>
    <t>Chômeurs non inscrits</t>
  </si>
  <si>
    <t>En emploi et catégories B, C et E</t>
  </si>
  <si>
    <t>En emploi non inscrits</t>
  </si>
  <si>
    <t>Halo et catégorie A</t>
  </si>
  <si>
    <t>Halo non inscrits</t>
  </si>
  <si>
    <t>Inactifs hors halo et catégorie A</t>
  </si>
  <si>
    <t>Inscrits en catégorie D</t>
  </si>
  <si>
    <t>Autres</t>
  </si>
  <si>
    <t>Inscrits au moins une fois entre 2016 et 2024</t>
  </si>
  <si>
    <t>Jamais inscrits entre 2016 et 2024</t>
  </si>
  <si>
    <t>Inscrits</t>
  </si>
  <si>
    <t>En part du statut d'activité BIT</t>
  </si>
  <si>
    <t>Cherche un emploi à temps partiel</t>
  </si>
  <si>
    <t>Champ : France hors Mayotte, chômeurs au sens du BIT ou inscrits à France Travail en catégorie A, âgés de 15 à 64 ans, vivant dans un logement ordinaire.</t>
  </si>
  <si>
    <t>en milliers de personnes</t>
  </si>
  <si>
    <t>Niveaux</t>
  </si>
  <si>
    <t>Évolution 2021-2024</t>
  </si>
  <si>
    <t>De 15 à 24 ans</t>
  </si>
  <si>
    <t>Bac ou plus</t>
  </si>
  <si>
    <t>Inscrits en catégorie A et non chômeurs (1)</t>
  </si>
  <si>
    <t>Inactifs dans le halo</t>
  </si>
  <si>
    <t>Inactifs hors halo</t>
  </si>
  <si>
    <t>Inscrits en catégorie A et chômeurs (2)</t>
  </si>
  <si>
    <t>Chômeurs et non inscrits en catégorie A (3)</t>
  </si>
  <si>
    <t>Non inscrits à France Travail</t>
  </si>
  <si>
    <t>Inscrits en catégorie B ou C</t>
  </si>
  <si>
    <t>Inscrits en catégorie D ou E</t>
  </si>
  <si>
    <t>Sources : Insee, enquête Emploi, séries longues ; France Travail, Fichier historique statistique (FHS), STMT ; Dares-Insee-France Travail, appariement du FHS et de l'enquête Emploi.</t>
  </si>
  <si>
    <t>en milliers de personnes, en moyenne sur l’année</t>
  </si>
  <si>
    <t>Source employée</t>
  </si>
  <si>
    <t>Chômeurs au sens du BIT :</t>
  </si>
  <si>
    <t>Appariement</t>
  </si>
  <si>
    <t>Inscrits en catégorie A :</t>
  </si>
  <si>
    <t>Fichier historique statistique (avec recul)</t>
  </si>
  <si>
    <t>Encadré 2 Figure – Évolution de la répartition des inscrits à France Travail en catégorie A, selon le statut au sens du BIT et l'appariement retenu, de 2013 à 2024</t>
  </si>
  <si>
    <t>Champ : France métropolitaine, inscrits en catégorie A âgés de 15 à 64 ans, vivant dans un logement ordinaire.</t>
  </si>
  <si>
    <t>Année</t>
  </si>
  <si>
    <t>Appariement 2016-2024</t>
  </si>
  <si>
    <t>Appariement 2013-2017</t>
  </si>
  <si>
    <t>Dans le halo</t>
  </si>
  <si>
    <t>En part de la classe d'âge au chômage ou dans son halo</t>
  </si>
  <si>
    <t>Non-salarié</t>
  </si>
  <si>
    <t>En part des personnes au chômage ou dans le halo</t>
  </si>
  <si>
    <t>Inscrit à France Travail</t>
  </si>
  <si>
    <t>A contacté une agence d’intérim ou un opérateur privé de placement ou répondu à une de leurs offres d’emploi</t>
  </si>
  <si>
    <t>A déposé ou actualisé son CV sur Internet</t>
  </si>
  <si>
    <t>A passé une annonce pour trouver un emploi ou répondu à une offre d’emploi</t>
  </si>
  <si>
    <t>A étudié des offres d’emploi</t>
  </si>
  <si>
    <t>A passé un test ou un entretien d’embauche</t>
  </si>
  <si>
    <t>A contacté un employeur par candidature spontanée ou lors d’un salon professionnel ou d’un forum de l’emploi ou en réponse à la sollicitation d’un chasseur de tête</t>
  </si>
  <si>
    <t>A réalisé des démarches pour s’installer à son compte</t>
  </si>
  <si>
    <t>Figure 1 – Nombre de chômeurs au sens du BIT et d’inscrits à France Travail en catégorie A, de 2012 à 2025</t>
  </si>
  <si>
    <t>Inscrits en catégorie A à France Travail</t>
  </si>
  <si>
    <t>Figure 2 – Répartition des personnes selon leur statut d'activité au sens du BIT et leur catégorie d'inscription à France Travail en 2024</t>
  </si>
  <si>
    <t>Figure 3 – Caractéristiques des inscrits à France Travail en catégorie A et inactifs ou en emploi au sens du BIT en 2024</t>
  </si>
  <si>
    <t>En part du statut d'activité au sens du BIT</t>
  </si>
  <si>
    <t>De 15 à 24 ans, dont :</t>
  </si>
  <si>
    <t>En cours d'études</t>
  </si>
  <si>
    <t>Figure 4 – Caractéristiques des inactifs dans le halo du chômage et hors du halo en 2024, selon l'âge et la catégorie d'inscription à France Travail</t>
  </si>
  <si>
    <t>Figure 5 – Situation des personnes au trimestre T+1 selon leur situation au trimestre T de 2024, selon le statut au sens du BIT et la catégorie d'inscription à France Travail</t>
  </si>
  <si>
    <t>Lecture : En 2024, 53 % des inscrits en catégorie A à France Travail et au chômage au sens du BIT sont dans la même situation le trimestre suivant.</t>
  </si>
  <si>
    <t>Figure 6 – Répartition selon le statut d'activité au sens du BIT et la catégorie d'inscription à France Travail, par âge en 2024</t>
  </si>
  <si>
    <t>Figure 7 – Caractéristiques des chômeurs au sens du BIT en 2024, selon la catégorie d’inscription à France Travail</t>
  </si>
  <si>
    <t>Chômeur de courte durée (moins d'un an)</t>
  </si>
  <si>
    <t>Chômeur de longue durée (de un à deux ans)</t>
  </si>
  <si>
    <t>Chômeur de très longue durée (plus de deux ans)</t>
  </si>
  <si>
    <t>De 15 à 24 ans</t>
  </si>
  <si>
    <t>De 25 à 49 ans</t>
  </si>
  <si>
    <t>De 50 à 64 ans</t>
  </si>
  <si>
    <t>Figure 8 – Évolution du nombre de personnes inscrites à France Travail en catégorie A ou au chômage au sens du BIT entre 2021 et 2024</t>
  </si>
  <si>
    <t>Méthodes Figure – Nombre de chômeurs au sens du BIT et d’inscrits à France Travail en catégorie A de 2016 à 2024, selon la source employée</t>
  </si>
  <si>
    <t>/// : absence de résultats.</t>
  </si>
  <si>
    <t>Encadré 3 Figure A – Statut d'emploi antérieur des personnes au chômage ou dans le halo du chômage en 2024, selon l'âge et la catégorie d'inscription à France Travail</t>
  </si>
  <si>
    <t>Encadré 3 Figure B – Inscription à France Travail et recherche active d'emploi des personnes au chômage ou dans son halo en 2024, et variation par rapport à 2021, selon l'âge</t>
  </si>
  <si>
    <t>Lecture : En 2024, parmi les 1,204 million de personnes âgées de 15 à 24 ans au chômage au sens du BIT ou dans le halo du chômage, 35 % sont inscrites à France Travail (en catégorie A, B, C, D ou E) et 63 % ont recherché activement un emploi au cours des quatre dernières semaines.</t>
  </si>
  <si>
    <r>
      <t>Sources : Insee, enquête Emploi (séries longues) ; Dares-France Travail, Statistiques</t>
    </r>
    <r>
      <rPr>
        <sz val="10"/>
        <color rgb="FF0070C0"/>
        <rFont val="Arial"/>
        <family val="2"/>
      </rPr>
      <t xml:space="preserve"> </t>
    </r>
    <r>
      <rPr>
        <sz val="10"/>
        <color theme="1"/>
        <rFont val="Arial"/>
        <family val="2"/>
      </rPr>
      <t>du marché du travail.</t>
    </r>
  </si>
  <si>
    <t>Lecture : En 2024, en moyenne, 2,3 millions de personnes sont au chômage au sens du BIT et 3,0 millions sont inscrites en catégorie A à France Travail.</t>
  </si>
  <si>
    <t>Note : Par construction de l’appariement, les courbes relatives aux chômeurs au sens du BIT et issues des données individuelles initiales et de l'appariement se confondent.</t>
  </si>
  <si>
    <t>Lecture : En 2016, 57 % des inscrits à France Travail en catégorie A en France métropolitaine sont chômeurs au sens du BIT selon l'appariement 2016-2024, 59 % selon l'appariement 2013-2017.</t>
  </si>
  <si>
    <t>1. La modalité « A passé un concours pour entrer dans le secteur public », mentionnée dans moins de 2 % des cas quelle que soit la classe d'âge n'est pas représentée ici.</t>
  </si>
  <si>
    <t>Lecture : En moyenne en 2024, 1,427 million de personnes sont au chômage au sens du BIT et inscrites en catégorie A à France Travail. 62 % des chômeurs au sens du BIT sont inscrits en catégorie A et 49 % des inscrits en catégorie A sont chômeurs au sens du BIT.</t>
  </si>
  <si>
    <t>De 15 à 24 ans, dont :</t>
  </si>
  <si>
    <t>Lecture : En 2024, parmi les 727 000 inscrits en catégorie A à France Travail et dans le halo du chômage au sens du BIT, 59 % sont des femmes et 12 % sont âgés de 15 à 24 ans.</t>
  </si>
  <si>
    <t>Se déclare indemnisé par l'assurance chômage</t>
  </si>
  <si>
    <t>Ancienneté moyenne d'inscription à France Travail¹ (en mois)</t>
  </si>
  <si>
    <t>Souhaite travailler et est disponible, mais n’a pas recherché</t>
  </si>
  <si>
    <t>Lecture : En 2024, parmi les 199 000 personnes âgées de 50 à 64 ans dans le halo autour du chômage et inscrites en catégorie A, 28 % sont à la recherche d'un emploi mais ne sont pas disponibles pour en occuper un et 41 % justifient leur inactivité par une invalidité ou des problèmes de santé.</t>
  </si>
  <si>
    <t xml:space="preserve">Note : Le motif d’inactivité a été reconstruit à partir des différents motifs de ne pas avoir recherché d’emploi, de ne pas être disponible ou de ne pas souhaiter travailler, ainsi que par quelques modalités du statut spontanément déclaré afin de limiter autant que possible la modalité « autres motifs ». L’étude des libellés en clair a aussi permis de reclasser un grand nombre de motifs « autres » dans la liste des motifs précédents. </t>
  </si>
  <si>
    <t>Champ : France hors Mayotte, inactifs au sens du BIT âgés de 15 à 64 ans, vivant dans un logement ordinaire.</t>
  </si>
  <si>
    <t>Nombre (en milliers)</t>
  </si>
  <si>
    <t>Motifs temporaires¹</t>
  </si>
  <si>
    <t>Lecture : En 2024, parmi les 1,427 million de chômeurs au sens du BIT inscrits en catégorie A, 48 % sont des femmes et 17 % sont âgés de 15 à 24 ans.</t>
  </si>
  <si>
    <t>Ancienneté moyenne d'inscription à France Travail¹ (en mois)</t>
  </si>
  <si>
    <t>Nombre moyen de démarches actives²</t>
  </si>
  <si>
    <t>Travaille ou a déjà travaillé³</t>
  </si>
  <si>
    <t>Écart entre inscrits en catégorie A et chômeurs (1)-(3)</t>
  </si>
  <si>
    <t>Chômeurs au sens du BIT (2)+(3)</t>
  </si>
  <si>
    <t>Inscrits en catégorie A (4)=(1)+(2)</t>
  </si>
  <si>
    <t>Lecture : En 2024, on dénombre 727 000 inscrits en catégorie A à France Travail et dans le halo du chômage, soit une diminution de 139 000 personnes par rapport à 2021. Parmi les personnes de 15 à 24 ans, ce nombre recule de 23 000.</t>
  </si>
  <si>
    <t>Lecture : En 2024, d'après les données issues de l'appariement, en moyenne 2,290 millions de personnes sont au chômage au sens du BIT et 2,893 millions sont inscrites en catégorie A à France Travail.</t>
  </si>
  <si>
    <t>A fait appel à son entourage (famille, amis, collègues, syndicats, etc.) pour l’aider dans ses recherches d’emploi</t>
  </si>
  <si>
    <t>Données de l'Insee Références « Emploi, chômage, revenus du travail », édition 2026
Dossier 1 « Les chômeurs au sens du BIT et les inscrits à France Travail en catégorie A : l’écart se réduit entre 2021 et 2024 mais demeure élevé »</t>
  </si>
  <si>
    <t>Inactifs dans le halo</t>
  </si>
  <si>
    <t>Travaille ou a déjà travaillé²</t>
  </si>
  <si>
    <t>Inactifs hors halo</t>
  </si>
  <si>
    <t>Catégories B à E</t>
  </si>
  <si>
    <t>Catégorie B ou C</t>
  </si>
  <si>
    <t>Catégorie D ou E</t>
  </si>
  <si>
    <t>Âge</t>
  </si>
  <si>
    <t>Inactifs hors halo non inscrits</t>
  </si>
  <si>
    <t>Catégorie B ou C</t>
  </si>
  <si>
    <t>Catégorie D ou E</t>
  </si>
  <si>
    <t>Le mois précédent ou suivant le mois d'enquête</t>
  </si>
  <si>
    <t>Part des chômeurs parmi les inscrits 
en catégorie A (2)/(4) (en %)</t>
  </si>
  <si>
    <t>Inférieur au bac</t>
  </si>
  <si>
    <t>Lecture : En 2024, parmi les 333 000 personnes âgées de moins de 25 ans inscrites en catégorie A, au chômage ou dans son halo, 82 % ont déjà travaillé ; 13 % étaient en CDI lors de leur dernier emploi.</t>
  </si>
  <si>
    <r>
      <t>Recherche activement un emploi</t>
    </r>
    <r>
      <rPr>
        <b/>
        <vertAlign val="superscript"/>
        <sz val="10"/>
        <rFont val="Arial"/>
        <family val="2"/>
      </rPr>
      <t>1</t>
    </r>
    <r>
      <rPr>
        <b/>
        <sz val="10"/>
        <rFont val="Arial"/>
        <family val="2"/>
      </rPr>
      <t>, dont :</t>
    </r>
  </si>
  <si>
    <r>
      <t>Nombre moyen de démarches actives</t>
    </r>
    <r>
      <rPr>
        <b/>
        <vertAlign val="superscript"/>
        <sz val="10"/>
        <rFont val="Arial"/>
        <family val="2"/>
      </rPr>
      <t>2</t>
    </r>
  </si>
  <si>
    <t>2024 
(en %)</t>
  </si>
  <si>
    <t>Variation 2021-2024 
(en points de %)</t>
  </si>
  <si>
    <t>Champ : France hors Mayotte, personnes âgées de 15 à 64 ans, vivant dans un logement ordinaire.</t>
  </si>
  <si>
    <t>Part dans le statut BIT (en %)</t>
  </si>
  <si>
    <t>Part dans la catégorie d'inscription (en %)</t>
  </si>
  <si>
    <t>Champ : France hors Mayotte, personnes âgées de 15 à 64 ans (et vivant dans un logement ordinaire pour l'enquête Emploi).</t>
  </si>
  <si>
    <t>Champ : France hors Mayotte, personnes âgées de 15 à 64 ans, vivant dans un logement ordinaire.</t>
  </si>
  <si>
    <t>2. Nombre moyen de démarches actives différentes, hors « A contacté France Travail, une mission locale pour trouver un emploi ou a répondu à une de leurs offres d’emploi ».</t>
  </si>
  <si>
    <t>Champ : France hors Mayotte, personnes âgées de 15 à 64 ans au chômage au sens du BIT ou dans le halo du chômage, vivant dans un logement ordinaire.</t>
  </si>
  <si>
    <t>A contacté France Travail, une mission locale pour trouver un emploi ou a répondu à une de leurs offres d’emploi</t>
  </si>
  <si>
    <t>Champ : France hors Mayotte, personnes âgées de 15 à 64 ans au chômage au sens du BIT ou dans son halo, vivant dans un logement ordinaire.</t>
  </si>
  <si>
    <t>Statistiques du marché du travail (sans recul)</t>
  </si>
  <si>
    <t>A déjà travaillé</t>
  </si>
  <si>
    <t>Champ : France hors Mayotte, personnes en emploi ou inactives au sens du BIT ou inscrites à France Travail en catégorie A, âgées de 15 à 64 ans, vivant dans un logement ordinaire.</t>
  </si>
  <si>
    <t>3. Nature actuelle de l'emploi pour les personnes en emploi au moment de l'enquête, antérieure pour les personnes inactives ou au chômage au moment de l'enquête et ayant déjà travaillé.</t>
  </si>
  <si>
    <t>Champ : France hors Mayotte, personnes âgées de 15 à 64 ans, inscrites en catégorie A ou au chômage au sens du BIT, vivant dans un logement ordinaire.</t>
  </si>
  <si>
    <t>2. Nombre moyen de démarches actives différentes, hors « A contacté France Travail, une mission locale pour trouver un emploi ou a répondu à une de leurs offres d’emploi ».</t>
  </si>
  <si>
    <t>Lecture : En 2024, 91,8 % des personnes âgées de 15 ans sont inactives hors halo et non inscrites à France Travail.</t>
  </si>
  <si>
    <t>Catégories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</si>
</sst>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 _€_-;_-@_-"/>
    <numFmt numFmtId="165" formatCode="0\ %"/>
    <numFmt numFmtId="166" formatCode="#,##0.0"/>
    <numFmt numFmtId="167" formatCode="0.0"/>
  </numFmts>
  <fonts count="43">
    <font>
      <sz val="11"/>
      <color theme="1"/>
      <name val="Aptos Narrow"/>
      <family val="2"/>
      <charset val="1"/>
    </font>
    <font>
      <sz val="10"/>
      <color theme="1"/>
      <name val="Arial"/>
      <family val="2"/>
    </font>
    <font>
      <sz val="10"/>
      <name val="Arial"/>
      <family val="2"/>
      <charset val="1"/>
    </font>
    <font>
      <sz val="11"/>
      <color rgb="FF000000"/>
      <name val="Aptos Narrow"/>
      <family val="2"/>
      <charset val="1"/>
    </font>
    <font>
      <sz val="11"/>
      <color rgb="FF000000"/>
      <name val="Calibri"/>
      <charset val="1"/>
    </font>
    <font>
      <sz val="10"/>
      <name val="Arial"/>
      <charset val="1"/>
    </font>
    <font>
      <u/>
      <sz val="11"/>
      <color theme="10"/>
      <name val="Aptos Narrow"/>
      <family val="2"/>
      <charset val="1"/>
    </font>
    <font>
      <i/>
      <sz val="10"/>
      <color rgb="FF0070C0"/>
      <name val="Arial"/>
      <family val="2"/>
      <charset val="1"/>
    </font>
    <font>
      <b/>
      <sz val="10"/>
      <name val="Arial"/>
      <family val="2"/>
      <charset val="1"/>
    </font>
    <font>
      <sz val="10"/>
      <color rgb="FF000000"/>
      <name val="Arial"/>
      <family val="2"/>
      <charset val="1"/>
    </font>
    <font>
      <i/>
      <sz val="10"/>
      <name val="Arial"/>
      <family val="2"/>
      <charset val="1"/>
    </font>
    <font>
      <b/>
      <sz val="10"/>
      <color theme="1"/>
      <name val="Arial"/>
      <family val="2"/>
      <charset val="1"/>
    </font>
    <font>
      <sz val="10"/>
      <color theme="1"/>
      <name val="Arial"/>
      <family val="2"/>
      <charset val="1"/>
    </font>
    <font>
      <strike/>
      <sz val="10"/>
      <name val="Arial"/>
      <family val="2"/>
      <charset val="1"/>
    </font>
    <font>
      <sz val="1"/>
      <name val="Arial"/>
      <family val="2"/>
      <charset val="1"/>
    </font>
    <font>
      <i/>
      <sz val="11"/>
      <color theme="1"/>
      <name val="Aptos Narrow"/>
      <family val="2"/>
      <charset val="1"/>
    </font>
    <font>
      <b/>
      <i/>
      <sz val="10"/>
      <color rgb="FF0070C0"/>
      <name val="Arial"/>
      <family val="2"/>
      <charset val="1"/>
    </font>
    <font>
      <sz val="10"/>
      <color theme="0" tint="-0.499984740745262"/>
      <name val="Arial"/>
      <family val="2"/>
      <charset val="1"/>
    </font>
    <font>
      <sz val="11"/>
      <color theme="1"/>
      <name val="Aptos Narrow"/>
      <family val="2"/>
      <charset val="1"/>
    </font>
    <font>
      <sz val="10"/>
      <color rgb="FF0070C0"/>
      <name val="Arial"/>
      <family val="2"/>
    </font>
    <font>
      <sz val="10"/>
      <name val="Arial"/>
      <family val="2"/>
    </font>
    <font>
      <b/>
      <sz val="10"/>
      <name val="Arial"/>
      <family val="2"/>
    </font>
    <font>
      <sz val="10"/>
      <color rgb="FF7030A0"/>
      <name val="Arial"/>
      <family val="2"/>
    </font>
    <font>
      <b/>
      <sz val="12"/>
      <color theme="1"/>
      <name val="Arial"/>
      <family val="2"/>
    </font>
    <font>
      <sz val="10"/>
      <color theme="1"/>
      <name val="Arial"/>
      <family val="2"/>
    </font>
    <font>
      <b/>
      <sz val="10"/>
      <color theme="1"/>
      <name val="Arial"/>
      <family val="2"/>
    </font>
    <font>
      <i/>
      <sz val="10"/>
      <color theme="1"/>
      <name val="Arial"/>
      <family val="2"/>
    </font>
    <font>
      <b/>
      <i/>
      <sz val="10"/>
      <color theme="1"/>
      <name val="Arial"/>
      <family val="2"/>
    </font>
    <font>
      <sz val="10"/>
      <color theme="8"/>
      <name val="Arial"/>
      <family val="2"/>
    </font>
    <font>
      <b/>
      <sz val="10"/>
      <color theme="8"/>
      <name val="Arial"/>
      <family val="2"/>
    </font>
    <font>
      <i/>
      <sz val="10"/>
      <color rgb="FF0070C0"/>
      <name val="Arial"/>
      <family val="2"/>
    </font>
    <font>
      <b/>
      <sz val="10"/>
      <color rgb="FF0070C0"/>
      <name val="Arial"/>
      <family val="2"/>
    </font>
    <font>
      <sz val="11"/>
      <color theme="1"/>
      <name val="Arial"/>
      <family val="2"/>
    </font>
    <font>
      <sz val="10"/>
      <color rgb="FF000000"/>
      <name val="Arial"/>
      <family val="2"/>
    </font>
    <font>
      <i/>
      <sz val="10"/>
      <name val="Arial"/>
      <family val="2"/>
    </font>
    <font>
      <b/>
      <sz val="10"/>
      <color rgb="FF7030A0"/>
      <name val="Arial"/>
      <family val="2"/>
    </font>
    <font>
      <b/>
      <i/>
      <sz val="10"/>
      <color rgb="FF0070C0"/>
      <name val="Arial"/>
      <family val="2"/>
    </font>
    <font>
      <strike/>
      <sz val="10"/>
      <color rgb="FFFF0000"/>
      <name val="Arial"/>
      <family val="2"/>
    </font>
    <font>
      <sz val="10"/>
      <color rgb="FFFF0000"/>
      <name val="Arial"/>
      <family val="2"/>
    </font>
    <font>
      <b/>
      <sz val="10"/>
      <color rgb="FFFF0000"/>
      <name val="Arial"/>
      <family val="2"/>
    </font>
    <font>
      <b/>
      <sz val="10"/>
      <color rgb="FF000000"/>
      <name val="Arial"/>
      <family val="2"/>
    </font>
    <font>
      <b/>
      <vertAlign val="superscript"/>
      <sz val="10"/>
      <name val="Arial"/>
      <family val="2"/>
    </font>
    <font>
      <u/>
      <sz val="10"/>
      <color theme="10"/>
      <name val="Arial"/>
      <family val="2"/>
    </font>
  </fonts>
  <fills count="2">
    <fill>
      <patternFill patternType="none"/>
    </fill>
    <fill>
      <patternFill patternType="gray125"/>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auto="1"/>
      </left>
      <right style="hair">
        <color auto="1"/>
      </right>
      <top/>
      <bottom/>
      <diagonal/>
    </border>
    <border>
      <left style="hair">
        <color auto="1"/>
      </left>
      <right/>
      <top/>
      <bottom/>
      <diagonal/>
    </border>
    <border>
      <left/>
      <right/>
      <top style="hair">
        <color auto="1"/>
      </top>
      <bottom style="hair">
        <color auto="1"/>
      </bottom>
      <diagonal/>
    </border>
    <border>
      <left/>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bottom style="hair">
        <color auto="1"/>
      </bottom>
      <diagonal/>
    </border>
    <border>
      <left style="thin">
        <color auto="1"/>
      </left>
      <right/>
      <top/>
      <bottom style="hair">
        <color auto="1"/>
      </bottom>
      <diagonal/>
    </border>
    <border>
      <left style="hair">
        <color auto="1"/>
      </left>
      <right style="hair">
        <color auto="1"/>
      </right>
      <top/>
      <bottom style="hair">
        <color auto="1"/>
      </bottom>
      <diagonal/>
    </border>
    <border>
      <left/>
      <right style="thin">
        <color auto="1"/>
      </right>
      <top/>
      <bottom style="hair">
        <color auto="1"/>
      </bottom>
      <diagonal/>
    </border>
    <border>
      <left style="hair">
        <color auto="1"/>
      </left>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right style="hair">
        <color auto="1"/>
      </right>
      <top style="thin">
        <color auto="1"/>
      </top>
      <bottom/>
      <diagonal/>
    </border>
    <border>
      <left style="thin">
        <color auto="1"/>
      </left>
      <right style="hair">
        <color auto="1"/>
      </right>
      <top/>
      <bottom/>
      <diagonal/>
    </border>
    <border>
      <left style="hair">
        <color auto="1"/>
      </left>
      <right style="thin">
        <color auto="1"/>
      </right>
      <top/>
      <bottom/>
      <diagonal/>
    </border>
    <border>
      <left/>
      <right style="hair">
        <color auto="1"/>
      </right>
      <top/>
      <bottom/>
      <diagonal/>
    </border>
    <border>
      <left style="thin">
        <color auto="1"/>
      </left>
      <right/>
      <top style="hair">
        <color auto="1"/>
      </top>
      <bottom style="thin">
        <color auto="1"/>
      </bottom>
      <diagonal/>
    </border>
    <border>
      <left style="thin">
        <color auto="1"/>
      </left>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thin">
        <color auto="1"/>
      </right>
      <top/>
      <bottom style="thin">
        <color auto="1"/>
      </bottom>
      <diagonal/>
    </border>
    <border>
      <left style="thin">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bottom style="thin">
        <color auto="1"/>
      </bottom>
      <diagonal/>
    </border>
    <border>
      <left style="thin">
        <color indexed="64"/>
      </left>
      <right style="thin">
        <color auto="1"/>
      </right>
      <top/>
      <bottom style="hair">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style="hair">
        <color auto="1"/>
      </left>
      <right style="hair">
        <color auto="1"/>
      </right>
      <top style="thin">
        <color auto="1"/>
      </top>
      <bottom style="thin">
        <color auto="1"/>
      </bottom>
      <diagonal/>
    </border>
    <border>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s>
  <cellStyleXfs count="12">
    <xf numFmtId="0" fontId="0" fillId="0" borderId="0"/>
    <xf numFmtId="0" fontId="6" fillId="0" borderId="0" applyBorder="0" applyProtection="0"/>
    <xf numFmtId="164" fontId="2" fillId="0" borderId="0" applyBorder="0" applyProtection="0"/>
    <xf numFmtId="0" fontId="18" fillId="0" borderId="0"/>
    <xf numFmtId="0" fontId="18" fillId="0" borderId="0"/>
    <xf numFmtId="0" fontId="18" fillId="0" borderId="0"/>
    <xf numFmtId="0" fontId="18" fillId="0" borderId="0"/>
    <xf numFmtId="0" fontId="3" fillId="0" borderId="0"/>
    <xf numFmtId="0" fontId="4" fillId="0" borderId="0"/>
    <xf numFmtId="0" fontId="2" fillId="0" borderId="0"/>
    <xf numFmtId="0" fontId="5" fillId="0" borderId="0"/>
    <xf numFmtId="165" fontId="2" fillId="0" borderId="0" applyBorder="0" applyProtection="0"/>
  </cellStyleXfs>
  <cellXfs count="516">
    <xf numFmtId="0" fontId="0" fillId="0" borderId="0" xfId="0"/>
    <xf numFmtId="0" fontId="5" fillId="0" borderId="0" xfId="10" applyFont="1"/>
    <xf numFmtId="0" fontId="8" fillId="0" borderId="0" xfId="10" applyFont="1" applyAlignment="1">
      <alignment vertical="center"/>
    </xf>
    <xf numFmtId="3" fontId="5" fillId="0" borderId="0" xfId="10" applyNumberFormat="1" applyFont="1"/>
    <xf numFmtId="0" fontId="2" fillId="0" borderId="0" xfId="10" applyFont="1"/>
    <xf numFmtId="0" fontId="2" fillId="0" borderId="0" xfId="10" applyFont="1" applyAlignment="1">
      <alignment vertical="center"/>
    </xf>
    <xf numFmtId="0" fontId="2" fillId="0" borderId="0" xfId="10" applyFont="1" applyAlignment="1">
      <alignment horizontal="left" vertical="center"/>
    </xf>
    <xf numFmtId="0" fontId="8" fillId="0" borderId="8" xfId="10" applyFont="1" applyBorder="1" applyAlignment="1">
      <alignment vertical="center" wrapText="1"/>
    </xf>
    <xf numFmtId="0" fontId="2" fillId="0" borderId="11" xfId="10" applyFont="1" applyBorder="1" applyAlignment="1">
      <alignment vertical="center" wrapText="1"/>
    </xf>
    <xf numFmtId="0" fontId="2" fillId="0" borderId="13" xfId="10" applyFont="1" applyBorder="1" applyAlignment="1">
      <alignment vertical="center" wrapText="1"/>
    </xf>
    <xf numFmtId="0" fontId="2" fillId="0" borderId="2" xfId="10" applyFont="1" applyBorder="1" applyAlignment="1">
      <alignment vertical="center" wrapText="1"/>
    </xf>
    <xf numFmtId="0" fontId="2" fillId="0" borderId="3" xfId="10" applyFont="1" applyBorder="1" applyAlignment="1">
      <alignment vertical="center" wrapText="1"/>
    </xf>
    <xf numFmtId="0" fontId="2" fillId="0" borderId="0" xfId="10" applyFont="1" applyAlignment="1">
      <alignment horizontal="left" vertical="center"/>
    </xf>
    <xf numFmtId="3" fontId="7" fillId="0" borderId="0" xfId="10" applyNumberFormat="1" applyFont="1" applyAlignment="1">
      <alignment horizontal="center"/>
    </xf>
    <xf numFmtId="0" fontId="5" fillId="0" borderId="0" xfId="10" applyFont="1" applyAlignment="1"/>
    <xf numFmtId="0" fontId="12" fillId="0" borderId="0" xfId="0" applyFont="1"/>
    <xf numFmtId="166" fontId="12" fillId="0" borderId="0" xfId="0" applyNumberFormat="1" applyFont="1"/>
    <xf numFmtId="0" fontId="8" fillId="0" borderId="0" xfId="0" applyFont="1"/>
    <xf numFmtId="0" fontId="11" fillId="0" borderId="0" xfId="5" applyFont="1"/>
    <xf numFmtId="166" fontId="12" fillId="0" borderId="0" xfId="5" applyNumberFormat="1" applyFont="1" applyAlignment="1">
      <alignment horizontal="center"/>
    </xf>
    <xf numFmtId="166" fontId="12" fillId="0" borderId="0" xfId="5" applyNumberFormat="1" applyFont="1"/>
    <xf numFmtId="166" fontId="12" fillId="0" borderId="0" xfId="5" applyNumberFormat="1" applyFont="1" applyAlignment="1">
      <alignment horizontal="right"/>
    </xf>
    <xf numFmtId="0" fontId="17" fillId="0" borderId="0" xfId="5" applyFont="1"/>
    <xf numFmtId="166" fontId="17" fillId="0" borderId="0" xfId="5" applyNumberFormat="1" applyFont="1" applyAlignment="1">
      <alignment horizontal="center"/>
    </xf>
    <xf numFmtId="166" fontId="17" fillId="0" borderId="0" xfId="5" applyNumberFormat="1" applyFont="1"/>
    <xf numFmtId="0" fontId="12" fillId="0" borderId="0" xfId="5" applyFont="1"/>
    <xf numFmtId="166" fontId="12" fillId="0" borderId="0" xfId="6" applyNumberFormat="1" applyFont="1" applyAlignment="1">
      <alignment horizontal="center"/>
    </xf>
    <xf numFmtId="0" fontId="5" fillId="0" borderId="0" xfId="10" applyFont="1" applyAlignment="1">
      <alignment vertical="top" wrapText="1"/>
    </xf>
    <xf numFmtId="0" fontId="16" fillId="0" borderId="0" xfId="10" applyFont="1"/>
    <xf numFmtId="0" fontId="19" fillId="0" borderId="0" xfId="10" applyFont="1" applyFill="1"/>
    <xf numFmtId="0" fontId="22" fillId="0" borderId="0" xfId="10" applyFont="1"/>
    <xf numFmtId="0" fontId="22" fillId="0" borderId="0" xfId="10" applyFont="1" applyAlignment="1">
      <alignment vertical="top" wrapText="1"/>
    </xf>
    <xf numFmtId="0" fontId="11" fillId="0" borderId="0" xfId="10" applyFont="1"/>
    <xf numFmtId="0" fontId="22" fillId="0" borderId="0" xfId="10" applyFont="1" applyFill="1"/>
    <xf numFmtId="0" fontId="22" fillId="0" borderId="0" xfId="10" applyFont="1" applyFill="1" applyAlignment="1">
      <alignment vertical="top" wrapText="1"/>
    </xf>
    <xf numFmtId="0" fontId="11" fillId="0" borderId="0" xfId="10" applyFont="1" applyAlignment="1">
      <alignment horizontal="left" vertical="center"/>
    </xf>
    <xf numFmtId="3" fontId="25" fillId="0" borderId="0" xfId="10" applyNumberFormat="1" applyFont="1" applyBorder="1" applyAlignment="1">
      <alignment horizontal="center" vertical="center" wrapText="1"/>
    </xf>
    <xf numFmtId="0" fontId="24" fillId="0" borderId="0" xfId="10" applyFont="1"/>
    <xf numFmtId="0" fontId="24" fillId="0" borderId="11" xfId="10" applyFont="1" applyFill="1" applyBorder="1" applyAlignment="1">
      <alignment vertical="center" wrapText="1"/>
    </xf>
    <xf numFmtId="0" fontId="24" fillId="0" borderId="0" xfId="10" applyFont="1" applyFill="1"/>
    <xf numFmtId="0" fontId="24" fillId="0" borderId="11" xfId="10" applyFont="1" applyFill="1" applyBorder="1" applyAlignment="1">
      <alignment horizontal="left" vertical="center" wrapText="1" indent="1"/>
    </xf>
    <xf numFmtId="0" fontId="12" fillId="0" borderId="11" xfId="10" applyFont="1" applyBorder="1" applyAlignment="1">
      <alignment vertical="center" wrapText="1"/>
    </xf>
    <xf numFmtId="0" fontId="26" fillId="0" borderId="11" xfId="10" applyFont="1" applyFill="1" applyBorder="1" applyAlignment="1">
      <alignment horizontal="left" vertical="center" wrapText="1" indent="1"/>
    </xf>
    <xf numFmtId="0" fontId="12" fillId="0" borderId="2" xfId="5" applyFont="1" applyBorder="1" applyAlignment="1">
      <alignment horizontal="left"/>
    </xf>
    <xf numFmtId="0" fontId="12" fillId="0" borderId="3" xfId="5" applyFont="1" applyBorder="1" applyAlignment="1">
      <alignment horizontal="left"/>
    </xf>
    <xf numFmtId="0" fontId="20" fillId="0" borderId="0" xfId="10" applyFont="1" applyFill="1"/>
    <xf numFmtId="0" fontId="25" fillId="0" borderId="0" xfId="9" applyFont="1" applyFill="1" applyAlignment="1"/>
    <xf numFmtId="3" fontId="25" fillId="0" borderId="0" xfId="9" applyNumberFormat="1" applyFont="1" applyFill="1" applyAlignment="1"/>
    <xf numFmtId="0" fontId="24" fillId="0" borderId="0" xfId="9" applyFont="1" applyFill="1" applyAlignment="1"/>
    <xf numFmtId="165" fontId="24" fillId="0" borderId="0" xfId="10" applyNumberFormat="1" applyFont="1" applyFill="1" applyAlignment="1">
      <alignment horizontal="center"/>
    </xf>
    <xf numFmtId="165" fontId="24" fillId="0" borderId="0" xfId="10" applyNumberFormat="1" applyFont="1" applyFill="1" applyAlignment="1">
      <alignment horizontal="right"/>
    </xf>
    <xf numFmtId="3" fontId="24" fillId="0" borderId="35" xfId="10" applyNumberFormat="1" applyFont="1" applyFill="1" applyBorder="1" applyAlignment="1">
      <alignment horizontal="center" vertical="top" wrapText="1"/>
    </xf>
    <xf numFmtId="3" fontId="24" fillId="0" borderId="26" xfId="10" applyNumberFormat="1" applyFont="1" applyFill="1" applyBorder="1" applyAlignment="1">
      <alignment horizontal="center" vertical="top" wrapText="1"/>
    </xf>
    <xf numFmtId="3" fontId="24" fillId="0" borderId="25" xfId="10" applyNumberFormat="1" applyFont="1" applyFill="1" applyBorder="1" applyAlignment="1">
      <alignment horizontal="center" vertical="top" wrapText="1"/>
    </xf>
    <xf numFmtId="3" fontId="24" fillId="0" borderId="27" xfId="10" applyNumberFormat="1" applyFont="1" applyFill="1" applyBorder="1" applyAlignment="1">
      <alignment horizontal="center" vertical="top" wrapText="1"/>
    </xf>
    <xf numFmtId="0" fontId="25" fillId="0" borderId="4" xfId="10" applyFont="1" applyFill="1" applyBorder="1" applyAlignment="1">
      <alignment vertical="center" wrapText="1"/>
    </xf>
    <xf numFmtId="0" fontId="24" fillId="0" borderId="2" xfId="10" applyFont="1" applyFill="1" applyBorder="1" applyAlignment="1">
      <alignment vertical="center" wrapText="1"/>
    </xf>
    <xf numFmtId="0" fontId="25" fillId="0" borderId="2" xfId="10" applyFont="1" applyFill="1" applyBorder="1" applyAlignment="1">
      <alignment vertical="center" wrapText="1"/>
    </xf>
    <xf numFmtId="0" fontId="2" fillId="0" borderId="11" xfId="9" applyFont="1" applyFill="1" applyBorder="1" applyAlignment="1">
      <alignment vertical="center" wrapText="1"/>
    </xf>
    <xf numFmtId="0" fontId="12" fillId="0" borderId="13" xfId="10" applyFont="1" applyFill="1" applyBorder="1" applyAlignment="1">
      <alignment vertical="center" wrapText="1"/>
    </xf>
    <xf numFmtId="0" fontId="2" fillId="0" borderId="11" xfId="10" applyFont="1" applyFill="1" applyBorder="1" applyAlignment="1">
      <alignment vertical="center" wrapText="1"/>
    </xf>
    <xf numFmtId="3" fontId="22" fillId="0" borderId="0" xfId="10" applyNumberFormat="1" applyFont="1"/>
    <xf numFmtId="0" fontId="26" fillId="0" borderId="13" xfId="9" applyFont="1" applyFill="1" applyBorder="1" applyAlignment="1">
      <alignment horizontal="left" vertical="center" wrapText="1" indent="2"/>
    </xf>
    <xf numFmtId="0" fontId="20" fillId="0" borderId="2" xfId="10" applyFont="1" applyFill="1" applyBorder="1" applyAlignment="1">
      <alignment vertical="center" wrapText="1"/>
    </xf>
    <xf numFmtId="0" fontId="21" fillId="0" borderId="0" xfId="10" applyFont="1" applyFill="1"/>
    <xf numFmtId="166" fontId="19" fillId="0" borderId="0" xfId="10" applyNumberFormat="1" applyFont="1" applyFill="1"/>
    <xf numFmtId="166" fontId="19" fillId="0" borderId="0" xfId="10" applyNumberFormat="1" applyFont="1" applyFill="1" applyAlignment="1">
      <alignment vertical="top"/>
    </xf>
    <xf numFmtId="0" fontId="24" fillId="0" borderId="4" xfId="10" applyFont="1" applyBorder="1" applyAlignment="1">
      <alignment vertical="center" wrapText="1"/>
    </xf>
    <xf numFmtId="0" fontId="24" fillId="0" borderId="0" xfId="10" applyFont="1" applyAlignment="1">
      <alignment vertical="center"/>
    </xf>
    <xf numFmtId="0" fontId="24" fillId="0" borderId="0" xfId="0" applyFont="1"/>
    <xf numFmtId="0" fontId="32" fillId="0" borderId="0" xfId="0" applyFont="1"/>
    <xf numFmtId="0" fontId="25" fillId="0" borderId="0" xfId="10" applyFont="1" applyAlignment="1">
      <alignment vertical="center"/>
    </xf>
    <xf numFmtId="0" fontId="20" fillId="0" borderId="0" xfId="10" applyFont="1"/>
    <xf numFmtId="0" fontId="30" fillId="0" borderId="0" xfId="10" applyFont="1"/>
    <xf numFmtId="0" fontId="20" fillId="0" borderId="0" xfId="10" applyFont="1" applyAlignment="1">
      <alignment horizontal="right"/>
    </xf>
    <xf numFmtId="0" fontId="25" fillId="0" borderId="1" xfId="10" applyFont="1" applyBorder="1" applyAlignment="1">
      <alignment horizontal="center"/>
    </xf>
    <xf numFmtId="1" fontId="21" fillId="0" borderId="1" xfId="10" applyNumberFormat="1" applyFont="1" applyBorder="1"/>
    <xf numFmtId="0" fontId="20" fillId="0" borderId="2" xfId="10" applyFont="1" applyBorder="1"/>
    <xf numFmtId="166" fontId="20" fillId="0" borderId="2" xfId="10" applyNumberFormat="1" applyFont="1" applyBorder="1"/>
    <xf numFmtId="0" fontId="24" fillId="0" borderId="3" xfId="10" applyFont="1" applyBorder="1"/>
    <xf numFmtId="166" fontId="20" fillId="0" borderId="3" xfId="10" applyNumberFormat="1" applyFont="1" applyBorder="1"/>
    <xf numFmtId="3" fontId="20" fillId="0" borderId="0" xfId="10" applyNumberFormat="1" applyFont="1"/>
    <xf numFmtId="3" fontId="20" fillId="0" borderId="0" xfId="10" applyNumberFormat="1" applyFont="1" applyFill="1"/>
    <xf numFmtId="0" fontId="19" fillId="0" borderId="0" xfId="10" applyFont="1"/>
    <xf numFmtId="0" fontId="30" fillId="0" borderId="0" xfId="10" applyFont="1" applyAlignment="1">
      <alignment horizontal="center"/>
    </xf>
    <xf numFmtId="166" fontId="20" fillId="0" borderId="0" xfId="10" applyNumberFormat="1" applyFont="1"/>
    <xf numFmtId="166" fontId="30" fillId="0" borderId="0" xfId="10" applyNumberFormat="1" applyFont="1"/>
    <xf numFmtId="165" fontId="30" fillId="0" borderId="0" xfId="10" applyNumberFormat="1" applyFont="1"/>
    <xf numFmtId="167" fontId="20" fillId="0" borderId="0" xfId="10" applyNumberFormat="1" applyFont="1"/>
    <xf numFmtId="167" fontId="30" fillId="0" borderId="0" xfId="10" applyNumberFormat="1" applyFont="1"/>
    <xf numFmtId="0" fontId="33" fillId="0" borderId="0" xfId="10" applyFont="1" applyAlignment="1">
      <alignment horizontal="right" vertical="center" readingOrder="1"/>
    </xf>
    <xf numFmtId="0" fontId="20" fillId="0" borderId="0" xfId="10" applyFont="1" applyAlignment="1">
      <alignment horizontal="center" vertical="center" wrapText="1"/>
    </xf>
    <xf numFmtId="166" fontId="20" fillId="0" borderId="0" xfId="10" applyNumberFormat="1" applyFont="1" applyAlignment="1">
      <alignment horizontal="center"/>
    </xf>
    <xf numFmtId="0" fontId="20" fillId="0" borderId="0" xfId="10" applyFont="1" applyAlignment="1">
      <alignment vertical="center"/>
    </xf>
    <xf numFmtId="0" fontId="34" fillId="0" borderId="0" xfId="10" applyFont="1"/>
    <xf numFmtId="0" fontId="21" fillId="0" borderId="0" xfId="10" applyFont="1" applyAlignment="1">
      <alignment vertical="center"/>
    </xf>
    <xf numFmtId="166" fontId="24" fillId="0" borderId="0" xfId="10" applyNumberFormat="1" applyFont="1"/>
    <xf numFmtId="0" fontId="35" fillId="0" borderId="0" xfId="10" applyFont="1"/>
    <xf numFmtId="0" fontId="36" fillId="0" borderId="0" xfId="10" applyFont="1"/>
    <xf numFmtId="0" fontId="25" fillId="0" borderId="0" xfId="10" applyFont="1" applyFill="1"/>
    <xf numFmtId="0" fontId="21" fillId="0" borderId="0" xfId="10" applyFont="1"/>
    <xf numFmtId="0" fontId="34" fillId="0" borderId="0" xfId="10" applyFont="1" applyFill="1" applyAlignment="1">
      <alignment horizontal="left"/>
    </xf>
    <xf numFmtId="0" fontId="37" fillId="0" borderId="0" xfId="10" applyFont="1" applyFill="1" applyAlignment="1">
      <alignment horizontal="right"/>
    </xf>
    <xf numFmtId="0" fontId="25" fillId="0" borderId="1" xfId="10" applyFont="1" applyFill="1" applyBorder="1" applyAlignment="1">
      <alignment horizontal="center" vertical="center"/>
    </xf>
    <xf numFmtId="0" fontId="25" fillId="0" borderId="1" xfId="10" applyFont="1" applyFill="1" applyBorder="1" applyAlignment="1">
      <alignment horizontal="center" vertical="center" wrapText="1"/>
    </xf>
    <xf numFmtId="0" fontId="31" fillId="0" borderId="2" xfId="10" applyFont="1" applyFill="1" applyBorder="1"/>
    <xf numFmtId="0" fontId="24" fillId="0" borderId="2" xfId="10" applyFont="1" applyFill="1" applyBorder="1" applyAlignment="1">
      <alignment horizontal="right"/>
    </xf>
    <xf numFmtId="0" fontId="25" fillId="0" borderId="2" xfId="10" applyFont="1" applyFill="1" applyBorder="1" applyAlignment="1">
      <alignment horizontal="right"/>
    </xf>
    <xf numFmtId="0" fontId="24" fillId="0" borderId="2" xfId="10" applyFont="1" applyFill="1" applyBorder="1"/>
    <xf numFmtId="3" fontId="24" fillId="0" borderId="2" xfId="10" applyNumberFormat="1" applyFont="1" applyFill="1" applyBorder="1" applyAlignment="1">
      <alignment horizontal="right"/>
    </xf>
    <xf numFmtId="3" fontId="25" fillId="0" borderId="2" xfId="10" applyNumberFormat="1" applyFont="1" applyFill="1" applyBorder="1" applyAlignment="1">
      <alignment horizontal="right"/>
    </xf>
    <xf numFmtId="0" fontId="25" fillId="0" borderId="2" xfId="10" applyFont="1" applyFill="1" applyBorder="1"/>
    <xf numFmtId="0" fontId="31" fillId="0" borderId="4" xfId="10" applyFont="1" applyFill="1" applyBorder="1"/>
    <xf numFmtId="3" fontId="24" fillId="0" borderId="4" xfId="10" applyNumberFormat="1" applyFont="1" applyFill="1" applyBorder="1" applyAlignment="1">
      <alignment horizontal="right"/>
    </xf>
    <xf numFmtId="0" fontId="24" fillId="0" borderId="4" xfId="10" applyFont="1" applyFill="1" applyBorder="1" applyAlignment="1">
      <alignment horizontal="right"/>
    </xf>
    <xf numFmtId="0" fontId="25" fillId="0" borderId="4" xfId="10" applyFont="1" applyFill="1" applyBorder="1" applyAlignment="1">
      <alignment horizontal="right"/>
    </xf>
    <xf numFmtId="0" fontId="25" fillId="0" borderId="3" xfId="10" applyFont="1" applyFill="1" applyBorder="1"/>
    <xf numFmtId="3" fontId="25" fillId="0" borderId="3" xfId="10" applyNumberFormat="1" applyFont="1" applyFill="1" applyBorder="1" applyAlignment="1">
      <alignment horizontal="right"/>
    </xf>
    <xf numFmtId="3" fontId="25" fillId="0" borderId="4" xfId="10" applyNumberFormat="1" applyFont="1" applyFill="1" applyBorder="1" applyAlignment="1">
      <alignment horizontal="right"/>
    </xf>
    <xf numFmtId="0" fontId="24" fillId="0" borderId="2" xfId="10" applyFont="1" applyBorder="1"/>
    <xf numFmtId="3" fontId="24" fillId="0" borderId="2" xfId="10" applyNumberFormat="1" applyFont="1" applyBorder="1" applyAlignment="1">
      <alignment horizontal="right"/>
    </xf>
    <xf numFmtId="3" fontId="25" fillId="0" borderId="2" xfId="10" applyNumberFormat="1" applyFont="1" applyBorder="1" applyAlignment="1">
      <alignment horizontal="right"/>
    </xf>
    <xf numFmtId="0" fontId="25" fillId="0" borderId="3" xfId="10" applyFont="1" applyBorder="1"/>
    <xf numFmtId="3" fontId="25" fillId="0" borderId="3" xfId="10" applyNumberFormat="1" applyFont="1" applyBorder="1" applyAlignment="1">
      <alignment horizontal="right"/>
    </xf>
    <xf numFmtId="0" fontId="20" fillId="0" borderId="0" xfId="10" applyFont="1" applyAlignment="1">
      <alignment horizontal="left" vertical="center"/>
    </xf>
    <xf numFmtId="0" fontId="24" fillId="0" borderId="0" xfId="10" applyFont="1" applyAlignment="1">
      <alignment horizontal="left" vertical="center"/>
    </xf>
    <xf numFmtId="0" fontId="38" fillId="0" borderId="0" xfId="10" applyFont="1"/>
    <xf numFmtId="0" fontId="39" fillId="0" borderId="0" xfId="10" applyFont="1"/>
    <xf numFmtId="3" fontId="21" fillId="0" borderId="0" xfId="10" applyNumberFormat="1" applyFont="1"/>
    <xf numFmtId="3" fontId="8" fillId="0" borderId="8" xfId="10" applyNumberFormat="1" applyFont="1" applyBorder="1" applyAlignment="1">
      <alignment horizontal="right" vertical="center" wrapText="1"/>
    </xf>
    <xf numFmtId="3" fontId="8" fillId="0" borderId="9" xfId="10" applyNumberFormat="1" applyFont="1" applyBorder="1" applyAlignment="1">
      <alignment horizontal="right" vertical="center" wrapText="1"/>
    </xf>
    <xf numFmtId="3" fontId="8" fillId="0" borderId="10" xfId="10" applyNumberFormat="1" applyFont="1" applyBorder="1" applyAlignment="1">
      <alignment horizontal="right" vertical="center" wrapText="1"/>
    </xf>
    <xf numFmtId="3" fontId="2" fillId="0" borderId="11" xfId="10" applyNumberFormat="1" applyFont="1" applyFill="1" applyBorder="1" applyAlignment="1">
      <alignment horizontal="right" vertical="center" wrapText="1"/>
    </xf>
    <xf numFmtId="3" fontId="2" fillId="0" borderId="0" xfId="10" applyNumberFormat="1" applyFont="1" applyFill="1" applyBorder="1" applyAlignment="1">
      <alignment horizontal="right" vertical="center" wrapText="1"/>
    </xf>
    <xf numFmtId="3" fontId="2" fillId="0" borderId="12" xfId="10" applyNumberFormat="1" applyFont="1" applyFill="1" applyBorder="1" applyAlignment="1">
      <alignment horizontal="right" vertical="center" wrapText="1"/>
    </xf>
    <xf numFmtId="3" fontId="8" fillId="0" borderId="0" xfId="10" applyNumberFormat="1" applyFont="1" applyFill="1" applyBorder="1" applyAlignment="1">
      <alignment horizontal="right" vertical="center" wrapText="1"/>
    </xf>
    <xf numFmtId="3" fontId="8" fillId="0" borderId="11" xfId="10" quotePrefix="1" applyNumberFormat="1" applyFont="1" applyFill="1" applyBorder="1" applyAlignment="1">
      <alignment horizontal="right" vertical="center" wrapText="1"/>
    </xf>
    <xf numFmtId="3" fontId="8" fillId="0" borderId="0" xfId="10" quotePrefix="1" applyNumberFormat="1" applyFont="1" applyFill="1" applyBorder="1" applyAlignment="1">
      <alignment horizontal="right" vertical="center" wrapText="1"/>
    </xf>
    <xf numFmtId="3" fontId="8" fillId="0" borderId="12" xfId="10" quotePrefix="1" applyNumberFormat="1" applyFont="1" applyFill="1" applyBorder="1" applyAlignment="1">
      <alignment horizontal="right" vertical="center" wrapText="1"/>
    </xf>
    <xf numFmtId="3" fontId="2" fillId="0" borderId="13" xfId="10" applyNumberFormat="1" applyFont="1" applyFill="1" applyBorder="1" applyAlignment="1">
      <alignment horizontal="right" vertical="center" wrapText="1"/>
    </xf>
    <xf numFmtId="3" fontId="2" fillId="0" borderId="14" xfId="10" applyNumberFormat="1" applyFont="1" applyFill="1" applyBorder="1" applyAlignment="1">
      <alignment horizontal="right" vertical="center" wrapText="1"/>
    </xf>
    <xf numFmtId="3" fontId="2" fillId="0" borderId="15" xfId="10" applyNumberFormat="1" applyFont="1" applyFill="1" applyBorder="1" applyAlignment="1">
      <alignment horizontal="right" vertical="center" wrapText="1"/>
    </xf>
    <xf numFmtId="3" fontId="8" fillId="0" borderId="14" xfId="10" quotePrefix="1" applyNumberFormat="1" applyFont="1" applyFill="1" applyBorder="1" applyAlignment="1">
      <alignment horizontal="right" vertical="center" wrapText="1"/>
    </xf>
    <xf numFmtId="3" fontId="8" fillId="0" borderId="13" xfId="10" applyNumberFormat="1" applyFont="1" applyFill="1" applyBorder="1" applyAlignment="1">
      <alignment horizontal="right" vertical="center" wrapText="1"/>
    </xf>
    <xf numFmtId="3" fontId="8" fillId="0" borderId="14" xfId="10" applyNumberFormat="1" applyFont="1" applyFill="1" applyBorder="1" applyAlignment="1">
      <alignment horizontal="right" vertical="center" wrapText="1"/>
    </xf>
    <xf numFmtId="3" fontId="8" fillId="0" borderId="15" xfId="10" applyNumberFormat="1" applyFont="1" applyFill="1" applyBorder="1" applyAlignment="1">
      <alignment horizontal="right" vertical="center" wrapText="1"/>
    </xf>
    <xf numFmtId="3" fontId="8" fillId="0" borderId="11" xfId="10" applyNumberFormat="1" applyFont="1" applyFill="1" applyBorder="1" applyAlignment="1">
      <alignment horizontal="right" vertical="center" wrapText="1"/>
    </xf>
    <xf numFmtId="3" fontId="8" fillId="0" borderId="12" xfId="10" applyNumberFormat="1" applyFont="1" applyFill="1" applyBorder="1" applyAlignment="1">
      <alignment horizontal="right" vertical="center" wrapText="1"/>
    </xf>
    <xf numFmtId="3" fontId="2" fillId="0" borderId="13" xfId="10" applyNumberFormat="1" applyFont="1" applyBorder="1" applyAlignment="1">
      <alignment horizontal="right" vertical="center" wrapText="1"/>
    </xf>
    <xf numFmtId="3" fontId="2" fillId="0" borderId="14" xfId="10" applyNumberFormat="1" applyFont="1" applyBorder="1" applyAlignment="1">
      <alignment horizontal="right" vertical="center" wrapText="1"/>
    </xf>
    <xf numFmtId="3" fontId="2" fillId="0" borderId="15" xfId="10" applyNumberFormat="1" applyFont="1" applyBorder="1" applyAlignment="1">
      <alignment horizontal="right" vertical="center" wrapText="1"/>
    </xf>
    <xf numFmtId="3" fontId="8" fillId="0" borderId="14" xfId="10" applyNumberFormat="1" applyFont="1" applyBorder="1" applyAlignment="1">
      <alignment horizontal="right" vertical="center" wrapText="1"/>
    </xf>
    <xf numFmtId="3" fontId="8" fillId="0" borderId="13" xfId="10" applyNumberFormat="1" applyFont="1" applyBorder="1" applyAlignment="1">
      <alignment horizontal="right" vertical="center" wrapText="1"/>
    </xf>
    <xf numFmtId="3" fontId="8" fillId="0" borderId="15" xfId="10" applyNumberFormat="1" applyFont="1" applyBorder="1" applyAlignment="1">
      <alignment horizontal="right" vertical="center" wrapText="1"/>
    </xf>
    <xf numFmtId="3" fontId="24" fillId="0" borderId="11" xfId="10" applyNumberFormat="1" applyFont="1" applyFill="1" applyBorder="1" applyAlignment="1">
      <alignment horizontal="right" vertical="center" wrapText="1"/>
    </xf>
    <xf numFmtId="3" fontId="24" fillId="0" borderId="0" xfId="10" applyNumberFormat="1" applyFont="1" applyFill="1" applyBorder="1" applyAlignment="1">
      <alignment horizontal="right" vertical="center" wrapText="1"/>
    </xf>
    <xf numFmtId="3" fontId="24" fillId="0" borderId="12" xfId="10" applyNumberFormat="1" applyFont="1" applyFill="1" applyBorder="1" applyAlignment="1">
      <alignment horizontal="right" vertical="center" wrapText="1"/>
    </xf>
    <xf numFmtId="3" fontId="25" fillId="0" borderId="0" xfId="10" applyNumberFormat="1" applyFont="1" applyFill="1" applyBorder="1" applyAlignment="1">
      <alignment horizontal="right" vertical="center" wrapText="1"/>
    </xf>
    <xf numFmtId="3" fontId="25" fillId="0" borderId="11" xfId="10" applyNumberFormat="1" applyFont="1" applyFill="1" applyBorder="1" applyAlignment="1">
      <alignment horizontal="right" vertical="center" wrapText="1"/>
    </xf>
    <xf numFmtId="3" fontId="25" fillId="0" borderId="12" xfId="10" applyNumberFormat="1" applyFont="1" applyFill="1" applyBorder="1" applyAlignment="1">
      <alignment horizontal="right" vertical="center" wrapText="1"/>
    </xf>
    <xf numFmtId="3" fontId="26" fillId="0" borderId="11" xfId="10" applyNumberFormat="1" applyFont="1" applyFill="1" applyBorder="1" applyAlignment="1">
      <alignment horizontal="right" vertical="center" wrapText="1"/>
    </xf>
    <xf numFmtId="3" fontId="26" fillId="0" borderId="0" xfId="10" applyNumberFormat="1" applyFont="1" applyFill="1" applyBorder="1" applyAlignment="1">
      <alignment horizontal="right" vertical="center" wrapText="1"/>
    </xf>
    <xf numFmtId="3" fontId="26" fillId="0" borderId="12" xfId="10" applyNumberFormat="1" applyFont="1" applyFill="1" applyBorder="1" applyAlignment="1">
      <alignment horizontal="right" vertical="center" wrapText="1"/>
    </xf>
    <xf numFmtId="3" fontId="27" fillId="0" borderId="0" xfId="10" applyNumberFormat="1" applyFont="1" applyFill="1" applyBorder="1" applyAlignment="1">
      <alignment horizontal="right" vertical="center" wrapText="1"/>
    </xf>
    <xf numFmtId="3" fontId="27" fillId="0" borderId="11" xfId="10" applyNumberFormat="1" applyFont="1" applyFill="1" applyBorder="1" applyAlignment="1">
      <alignment horizontal="right" vertical="center" wrapText="1"/>
    </xf>
    <xf numFmtId="3" fontId="27" fillId="0" borderId="12" xfId="10" applyNumberFormat="1" applyFont="1" applyFill="1" applyBorder="1" applyAlignment="1">
      <alignment horizontal="right" vertical="center" wrapText="1"/>
    </xf>
    <xf numFmtId="3" fontId="2" fillId="0" borderId="11" xfId="10" applyNumberFormat="1" applyFont="1" applyBorder="1" applyAlignment="1">
      <alignment horizontal="right" vertical="center" wrapText="1"/>
    </xf>
    <xf numFmtId="3" fontId="2" fillId="0" borderId="0" xfId="10" applyNumberFormat="1" applyFont="1" applyBorder="1" applyAlignment="1">
      <alignment horizontal="right" vertical="center" wrapText="1"/>
    </xf>
    <xf numFmtId="3" fontId="2" fillId="0" borderId="12" xfId="10" applyNumberFormat="1" applyFont="1" applyBorder="1" applyAlignment="1">
      <alignment horizontal="right" vertical="center" wrapText="1"/>
    </xf>
    <xf numFmtId="3" fontId="8" fillId="0" borderId="0" xfId="10" applyNumberFormat="1" applyFont="1" applyBorder="1" applyAlignment="1">
      <alignment horizontal="right" vertical="center" wrapText="1"/>
    </xf>
    <xf numFmtId="3" fontId="8" fillId="0" borderId="11" xfId="10" applyNumberFormat="1" applyFont="1" applyBorder="1" applyAlignment="1">
      <alignment horizontal="right" vertical="center" wrapText="1"/>
    </xf>
    <xf numFmtId="3" fontId="8" fillId="0" borderId="12" xfId="10" applyNumberFormat="1" applyFont="1" applyBorder="1" applyAlignment="1">
      <alignment horizontal="right" vertical="center" wrapText="1"/>
    </xf>
    <xf numFmtId="3" fontId="2" fillId="0" borderId="8" xfId="10" applyNumberFormat="1" applyFont="1" applyBorder="1" applyAlignment="1">
      <alignment horizontal="right" vertical="center" wrapText="1"/>
    </xf>
    <xf numFmtId="3" fontId="2" fillId="0" borderId="9" xfId="10" applyNumberFormat="1" applyFont="1" applyBorder="1" applyAlignment="1">
      <alignment horizontal="right" vertical="center" wrapText="1"/>
    </xf>
    <xf numFmtId="3" fontId="2" fillId="0" borderId="10" xfId="10" applyNumberFormat="1" applyFont="1" applyBorder="1" applyAlignment="1">
      <alignment horizontal="right" vertical="center" wrapText="1"/>
    </xf>
    <xf numFmtId="3" fontId="8" fillId="0" borderId="4" xfId="10" applyNumberFormat="1" applyFont="1" applyBorder="1" applyAlignment="1">
      <alignment horizontal="right" vertical="center" wrapText="1"/>
    </xf>
    <xf numFmtId="3" fontId="8" fillId="0" borderId="2" xfId="10" applyNumberFormat="1" applyFont="1" applyBorder="1" applyAlignment="1">
      <alignment horizontal="right" vertical="center" wrapText="1"/>
    </xf>
    <xf numFmtId="3" fontId="8" fillId="0" borderId="3" xfId="10" applyNumberFormat="1" applyFont="1" applyBorder="1" applyAlignment="1">
      <alignment horizontal="right" vertical="center" wrapText="1"/>
    </xf>
    <xf numFmtId="3" fontId="8" fillId="0" borderId="14" xfId="10" applyNumberFormat="1" applyFont="1" applyBorder="1" applyAlignment="1">
      <alignment horizontal="right" vertical="center"/>
    </xf>
    <xf numFmtId="3" fontId="8" fillId="0" borderId="13" xfId="10" quotePrefix="1" applyNumberFormat="1" applyFont="1" applyBorder="1" applyAlignment="1">
      <alignment horizontal="right" vertical="center"/>
    </xf>
    <xf numFmtId="3" fontId="8" fillId="0" borderId="14" xfId="10" quotePrefix="1" applyNumberFormat="1" applyFont="1" applyBorder="1" applyAlignment="1">
      <alignment horizontal="right" vertical="center"/>
    </xf>
    <xf numFmtId="3" fontId="8" fillId="0" borderId="15" xfId="10" quotePrefix="1" applyNumberFormat="1" applyFont="1" applyBorder="1" applyAlignment="1">
      <alignment horizontal="right" vertical="center"/>
    </xf>
    <xf numFmtId="1" fontId="2" fillId="0" borderId="11" xfId="10" applyNumberFormat="1" applyFont="1" applyBorder="1" applyAlignment="1">
      <alignment horizontal="right" vertical="center" wrapText="1"/>
    </xf>
    <xf numFmtId="1" fontId="2" fillId="0" borderId="0" xfId="10" applyNumberFormat="1" applyFont="1" applyBorder="1" applyAlignment="1">
      <alignment horizontal="right" vertical="center" wrapText="1"/>
    </xf>
    <xf numFmtId="1" fontId="2" fillId="0" borderId="12" xfId="10" applyNumberFormat="1" applyFont="1" applyBorder="1" applyAlignment="1">
      <alignment horizontal="right" vertical="center" wrapText="1"/>
    </xf>
    <xf numFmtId="1" fontId="8" fillId="0" borderId="0" xfId="10" applyNumberFormat="1" applyFont="1" applyBorder="1" applyAlignment="1">
      <alignment horizontal="right" vertical="center" wrapText="1"/>
    </xf>
    <xf numFmtId="1" fontId="8" fillId="0" borderId="11" xfId="10" applyNumberFormat="1" applyFont="1" applyBorder="1" applyAlignment="1">
      <alignment horizontal="right" vertical="center" wrapText="1"/>
    </xf>
    <xf numFmtId="1" fontId="8" fillId="0" borderId="12" xfId="10" applyNumberFormat="1" applyFont="1" applyBorder="1" applyAlignment="1">
      <alignment horizontal="right" vertical="center" wrapText="1"/>
    </xf>
    <xf numFmtId="3" fontId="24" fillId="0" borderId="11" xfId="10" applyNumberFormat="1" applyFont="1" applyBorder="1" applyAlignment="1">
      <alignment horizontal="right" vertical="center" wrapText="1"/>
    </xf>
    <xf numFmtId="3" fontId="24" fillId="0" borderId="0" xfId="10" applyNumberFormat="1" applyFont="1" applyBorder="1" applyAlignment="1">
      <alignment horizontal="right" vertical="center" wrapText="1"/>
    </xf>
    <xf numFmtId="3" fontId="24" fillId="0" borderId="12" xfId="10" applyNumberFormat="1" applyFont="1" applyBorder="1" applyAlignment="1">
      <alignment horizontal="right" vertical="center" wrapText="1"/>
    </xf>
    <xf numFmtId="3" fontId="25" fillId="0" borderId="0" xfId="10" applyNumberFormat="1" applyFont="1" applyBorder="1" applyAlignment="1">
      <alignment horizontal="right" vertical="center" wrapText="1"/>
    </xf>
    <xf numFmtId="3" fontId="25" fillId="0" borderId="11" xfId="10" applyNumberFormat="1" applyFont="1" applyBorder="1" applyAlignment="1">
      <alignment horizontal="right" vertical="center" wrapText="1"/>
    </xf>
    <xf numFmtId="3" fontId="25" fillId="0" borderId="12" xfId="10" applyNumberFormat="1" applyFont="1" applyBorder="1" applyAlignment="1">
      <alignment horizontal="right" vertical="center" wrapText="1"/>
    </xf>
    <xf numFmtId="3" fontId="26" fillId="0" borderId="13" xfId="10" quotePrefix="1" applyNumberFormat="1" applyFont="1" applyBorder="1" applyAlignment="1">
      <alignment horizontal="right" vertical="center" wrapText="1"/>
    </xf>
    <xf numFmtId="3" fontId="26" fillId="0" borderId="14" xfId="10" quotePrefix="1" applyNumberFormat="1" applyFont="1" applyBorder="1" applyAlignment="1">
      <alignment horizontal="right" vertical="center" wrapText="1"/>
    </xf>
    <xf numFmtId="3" fontId="26" fillId="0" borderId="15" xfId="10" applyNumberFormat="1" applyFont="1" applyBorder="1" applyAlignment="1">
      <alignment horizontal="right" vertical="center" wrapText="1"/>
    </xf>
    <xf numFmtId="3" fontId="27" fillId="0" borderId="14" xfId="10" quotePrefix="1" applyNumberFormat="1" applyFont="1" applyBorder="1" applyAlignment="1">
      <alignment horizontal="right" vertical="center" wrapText="1"/>
    </xf>
    <xf numFmtId="3" fontId="27" fillId="0" borderId="13" xfId="10" quotePrefix="1" applyNumberFormat="1" applyFont="1" applyBorder="1" applyAlignment="1">
      <alignment horizontal="right" vertical="center" wrapText="1"/>
    </xf>
    <xf numFmtId="3" fontId="27" fillId="0" borderId="15" xfId="10" applyNumberFormat="1" applyFont="1" applyFill="1" applyBorder="1" applyAlignment="1">
      <alignment horizontal="right" vertical="center" wrapText="1"/>
    </xf>
    <xf numFmtId="0" fontId="22" fillId="0" borderId="0" xfId="10" applyFont="1" applyAlignment="1">
      <alignment wrapText="1"/>
    </xf>
    <xf numFmtId="0" fontId="5" fillId="0" borderId="0" xfId="10" applyFont="1" applyAlignment="1">
      <alignment vertical="center"/>
    </xf>
    <xf numFmtId="165" fontId="5" fillId="0" borderId="0" xfId="10" applyNumberFormat="1" applyFont="1" applyAlignment="1">
      <alignment horizontal="center" vertical="center"/>
    </xf>
    <xf numFmtId="165" fontId="2" fillId="0" borderId="0" xfId="10" applyNumberFormat="1" applyFont="1" applyAlignment="1">
      <alignment horizontal="right" vertical="center"/>
    </xf>
    <xf numFmtId="3" fontId="5" fillId="0" borderId="0" xfId="10" applyNumberFormat="1" applyFont="1" applyAlignment="1">
      <alignment vertical="center"/>
    </xf>
    <xf numFmtId="165" fontId="8" fillId="0" borderId="0" xfId="10" applyNumberFormat="1" applyFont="1" applyAlignment="1">
      <alignment horizontal="center" vertical="center"/>
    </xf>
    <xf numFmtId="0" fontId="29" fillId="0" borderId="0" xfId="10" applyFont="1" applyFill="1" applyAlignment="1">
      <alignment vertical="center" wrapText="1"/>
    </xf>
    <xf numFmtId="0" fontId="29" fillId="0" borderId="0" xfId="10" applyFont="1" applyFill="1" applyAlignment="1">
      <alignment vertical="center"/>
    </xf>
    <xf numFmtId="3" fontId="2" fillId="0" borderId="5" xfId="10" applyNumberFormat="1" applyFont="1" applyBorder="1" applyAlignment="1">
      <alignment horizontal="center" vertical="center" wrapText="1"/>
    </xf>
    <xf numFmtId="3" fontId="2" fillId="0" borderId="6" xfId="10" applyNumberFormat="1" applyFont="1" applyBorder="1" applyAlignment="1">
      <alignment horizontal="center" vertical="center" wrapText="1"/>
    </xf>
    <xf numFmtId="3" fontId="2" fillId="0" borderId="7" xfId="10" applyNumberFormat="1" applyFont="1" applyBorder="1" applyAlignment="1">
      <alignment horizontal="center" vertical="center" wrapText="1"/>
    </xf>
    <xf numFmtId="0" fontId="2" fillId="0" borderId="0" xfId="10" applyFont="1" applyFill="1" applyAlignment="1">
      <alignment vertical="center"/>
    </xf>
    <xf numFmtId="0" fontId="5" fillId="0" borderId="0" xfId="10" applyFont="1" applyFill="1" applyAlignment="1">
      <alignment vertical="center"/>
    </xf>
    <xf numFmtId="0" fontId="22" fillId="0" borderId="0" xfId="10" applyFont="1" applyFill="1" applyAlignment="1">
      <alignment vertical="center" wrapText="1"/>
    </xf>
    <xf numFmtId="0" fontId="22" fillId="0" borderId="0" xfId="10" applyFont="1" applyAlignment="1">
      <alignment vertical="center" wrapText="1"/>
    </xf>
    <xf numFmtId="0" fontId="24" fillId="0" borderId="0" xfId="10" applyFont="1" applyFill="1" applyAlignment="1">
      <alignment vertical="center"/>
    </xf>
    <xf numFmtId="0" fontId="22" fillId="0" borderId="0" xfId="10" applyFont="1" applyFill="1" applyAlignment="1">
      <alignment vertical="center"/>
    </xf>
    <xf numFmtId="0" fontId="10" fillId="0" borderId="0" xfId="10" applyFont="1" applyAlignment="1">
      <alignment vertical="center"/>
    </xf>
    <xf numFmtId="0" fontId="19" fillId="0" borderId="0" xfId="10" applyFont="1" applyFill="1" applyAlignment="1">
      <alignment vertical="center"/>
    </xf>
    <xf numFmtId="0" fontId="5" fillId="0" borderId="0" xfId="10" applyFill="1" applyAlignment="1">
      <alignment vertical="center"/>
    </xf>
    <xf numFmtId="0" fontId="28" fillId="0" borderId="0" xfId="10" applyFont="1" applyFill="1" applyAlignment="1">
      <alignment vertical="center"/>
    </xf>
    <xf numFmtId="0" fontId="10" fillId="0" borderId="0" xfId="10" applyFont="1" applyFill="1" applyAlignment="1">
      <alignment vertical="center"/>
    </xf>
    <xf numFmtId="0" fontId="13" fillId="0" borderId="0" xfId="10" applyFont="1" applyAlignment="1">
      <alignment vertical="center"/>
    </xf>
    <xf numFmtId="0" fontId="13" fillId="0" borderId="0" xfId="10" applyFont="1" applyFill="1" applyAlignment="1">
      <alignment vertical="center"/>
    </xf>
    <xf numFmtId="3" fontId="5" fillId="0" borderId="0" xfId="10" applyNumberFormat="1" applyFont="1" applyFill="1" applyAlignment="1">
      <alignment vertical="center"/>
    </xf>
    <xf numFmtId="0" fontId="14" fillId="0" borderId="0" xfId="10" applyFont="1" applyAlignment="1">
      <alignment vertical="center"/>
    </xf>
    <xf numFmtId="0" fontId="22" fillId="0" borderId="0" xfId="10" applyFont="1" applyAlignment="1">
      <alignment vertical="center"/>
    </xf>
    <xf numFmtId="0" fontId="15" fillId="0" borderId="0" xfId="4" applyFont="1" applyAlignment="1">
      <alignment vertical="center"/>
    </xf>
    <xf numFmtId="0" fontId="10" fillId="0" borderId="0" xfId="9" applyFont="1" applyAlignment="1">
      <alignment vertical="center"/>
    </xf>
    <xf numFmtId="3" fontId="20" fillId="0" borderId="11" xfId="10" applyNumberFormat="1" applyFont="1" applyFill="1" applyBorder="1" applyAlignment="1">
      <alignment horizontal="right" vertical="center" wrapText="1"/>
    </xf>
    <xf numFmtId="3" fontId="20" fillId="0" borderId="0" xfId="10" applyNumberFormat="1" applyFont="1" applyFill="1" applyBorder="1" applyAlignment="1">
      <alignment horizontal="right" vertical="center" wrapText="1"/>
    </xf>
    <xf numFmtId="3" fontId="20" fillId="0" borderId="12" xfId="10" applyNumberFormat="1" applyFont="1" applyFill="1" applyBorder="1" applyAlignment="1">
      <alignment horizontal="right" vertical="center" wrapText="1"/>
    </xf>
    <xf numFmtId="3" fontId="21" fillId="0" borderId="11" xfId="10" applyNumberFormat="1" applyFont="1" applyFill="1" applyBorder="1" applyAlignment="1">
      <alignment horizontal="right" vertical="center" wrapText="1"/>
    </xf>
    <xf numFmtId="3" fontId="21" fillId="0" borderId="0" xfId="10" applyNumberFormat="1" applyFont="1" applyFill="1" applyBorder="1" applyAlignment="1">
      <alignment horizontal="right" vertical="center" wrapText="1"/>
    </xf>
    <xf numFmtId="3" fontId="21" fillId="0" borderId="12" xfId="10" applyNumberFormat="1" applyFont="1" applyFill="1" applyBorder="1" applyAlignment="1">
      <alignment horizontal="right" vertical="center" wrapText="1"/>
    </xf>
    <xf numFmtId="0" fontId="25" fillId="0" borderId="0" xfId="10" applyFont="1" applyAlignment="1">
      <alignment horizontal="left" vertical="center"/>
    </xf>
    <xf numFmtId="165" fontId="20" fillId="0" borderId="0" xfId="10" applyNumberFormat="1" applyFont="1" applyAlignment="1">
      <alignment horizontal="center"/>
    </xf>
    <xf numFmtId="3" fontId="20" fillId="0" borderId="0" xfId="10" applyNumberFormat="1" applyFont="1" applyAlignment="1">
      <alignment horizontal="right"/>
    </xf>
    <xf numFmtId="3" fontId="33" fillId="0" borderId="5" xfId="10" applyNumberFormat="1" applyFont="1" applyBorder="1" applyAlignment="1">
      <alignment horizontal="center" vertical="top" wrapText="1"/>
    </xf>
    <xf numFmtId="3" fontId="33" fillId="0" borderId="6" xfId="10" applyNumberFormat="1" applyFont="1" applyBorder="1" applyAlignment="1">
      <alignment horizontal="center" vertical="top" wrapText="1"/>
    </xf>
    <xf numFmtId="3" fontId="40" fillId="0" borderId="5" xfId="10" applyNumberFormat="1" applyFont="1" applyBorder="1" applyAlignment="1">
      <alignment horizontal="center" vertical="top" wrapText="1"/>
    </xf>
    <xf numFmtId="3" fontId="40" fillId="0" borderId="6" xfId="10" applyNumberFormat="1" applyFont="1" applyBorder="1" applyAlignment="1">
      <alignment horizontal="center" vertical="top" wrapText="1"/>
    </xf>
    <xf numFmtId="3" fontId="25" fillId="0" borderId="7" xfId="10" applyNumberFormat="1" applyFont="1" applyBorder="1" applyAlignment="1">
      <alignment horizontal="center" vertical="top" wrapText="1"/>
    </xf>
    <xf numFmtId="3" fontId="24" fillId="0" borderId="7" xfId="10" applyNumberFormat="1" applyFont="1" applyBorder="1" applyAlignment="1">
      <alignment horizontal="center" vertical="top" wrapText="1"/>
    </xf>
    <xf numFmtId="0" fontId="20" fillId="0" borderId="0" xfId="10" applyFont="1" applyAlignment="1">
      <alignment vertical="top" wrapText="1"/>
    </xf>
    <xf numFmtId="0" fontId="31" fillId="0" borderId="4" xfId="10" applyFont="1" applyBorder="1" applyAlignment="1">
      <alignment vertical="center" wrapText="1"/>
    </xf>
    <xf numFmtId="3" fontId="31" fillId="0" borderId="8" xfId="10" applyNumberFormat="1" applyFont="1" applyBorder="1" applyAlignment="1">
      <alignment horizontal="right" vertical="center" wrapText="1"/>
    </xf>
    <xf numFmtId="3" fontId="31" fillId="0" borderId="9" xfId="10" applyNumberFormat="1" applyFont="1" applyBorder="1" applyAlignment="1">
      <alignment horizontal="right" vertical="center" wrapText="1"/>
    </xf>
    <xf numFmtId="3" fontId="31" fillId="0" borderId="10" xfId="10" applyNumberFormat="1" applyFont="1" applyBorder="1" applyAlignment="1">
      <alignment horizontal="right" vertical="center" wrapText="1"/>
    </xf>
    <xf numFmtId="3" fontId="31" fillId="0" borderId="9" xfId="10" applyNumberFormat="1" applyFont="1" applyFill="1" applyBorder="1" applyAlignment="1">
      <alignment horizontal="right" vertical="center" wrapText="1"/>
    </xf>
    <xf numFmtId="0" fontId="20" fillId="0" borderId="2" xfId="10" applyFont="1" applyBorder="1" applyAlignment="1">
      <alignment vertical="center" wrapText="1"/>
    </xf>
    <xf numFmtId="3" fontId="20" fillId="0" borderId="11" xfId="10" applyNumberFormat="1" applyFont="1" applyBorder="1" applyAlignment="1">
      <alignment horizontal="right" vertical="center" wrapText="1"/>
    </xf>
    <xf numFmtId="3" fontId="20" fillId="0" borderId="0" xfId="10" applyNumberFormat="1" applyFont="1" applyBorder="1" applyAlignment="1">
      <alignment horizontal="right" vertical="center" wrapText="1"/>
    </xf>
    <xf numFmtId="3" fontId="20" fillId="0" borderId="12" xfId="10" applyNumberFormat="1" applyFont="1" applyBorder="1" applyAlignment="1">
      <alignment horizontal="right" vertical="center" wrapText="1"/>
    </xf>
    <xf numFmtId="3" fontId="20" fillId="0" borderId="8" xfId="10" applyNumberFormat="1" applyFont="1" applyBorder="1" applyAlignment="1">
      <alignment horizontal="right" vertical="center" wrapText="1"/>
    </xf>
    <xf numFmtId="3" fontId="20" fillId="0" borderId="9" xfId="10" applyNumberFormat="1" applyFont="1" applyBorder="1" applyAlignment="1">
      <alignment horizontal="right" vertical="center" wrapText="1"/>
    </xf>
    <xf numFmtId="3" fontId="20" fillId="0" borderId="10" xfId="10" applyNumberFormat="1" applyFont="1" applyBorder="1" applyAlignment="1">
      <alignment horizontal="right" vertical="center" wrapText="1"/>
    </xf>
    <xf numFmtId="3" fontId="25" fillId="0" borderId="8" xfId="10" applyNumberFormat="1" applyFont="1" applyBorder="1" applyAlignment="1">
      <alignment horizontal="right" vertical="center" wrapText="1"/>
    </xf>
    <xf numFmtId="3" fontId="25" fillId="0" borderId="9" xfId="10" applyNumberFormat="1" applyFont="1" applyBorder="1" applyAlignment="1">
      <alignment horizontal="right" vertical="center" wrapText="1"/>
    </xf>
    <xf numFmtId="3" fontId="25" fillId="0" borderId="10" xfId="10" applyNumberFormat="1" applyFont="1" applyBorder="1" applyAlignment="1">
      <alignment horizontal="right" vertical="center" wrapText="1"/>
    </xf>
    <xf numFmtId="0" fontId="20" fillId="0" borderId="3" xfId="10" applyFont="1" applyBorder="1" applyAlignment="1">
      <alignment vertical="center" wrapText="1"/>
    </xf>
    <xf numFmtId="3" fontId="20" fillId="0" borderId="13" xfId="10" applyNumberFormat="1" applyFont="1" applyBorder="1" applyAlignment="1">
      <alignment horizontal="right" vertical="center" wrapText="1"/>
    </xf>
    <xf numFmtId="3" fontId="20" fillId="0" borderId="14" xfId="10" applyNumberFormat="1" applyFont="1" applyBorder="1" applyAlignment="1">
      <alignment horizontal="right" vertical="center" wrapText="1"/>
    </xf>
    <xf numFmtId="3" fontId="20" fillId="0" borderId="15" xfId="10" applyNumberFormat="1" applyFont="1" applyBorder="1" applyAlignment="1">
      <alignment horizontal="right" vertical="center" wrapText="1"/>
    </xf>
    <xf numFmtId="3" fontId="25" fillId="0" borderId="13" xfId="10" applyNumberFormat="1" applyFont="1" applyBorder="1" applyAlignment="1">
      <alignment horizontal="right" vertical="center" wrapText="1"/>
    </xf>
    <xf numFmtId="3" fontId="25" fillId="0" borderId="14" xfId="10" applyNumberFormat="1" applyFont="1" applyBorder="1" applyAlignment="1">
      <alignment horizontal="right" vertical="center" wrapText="1"/>
    </xf>
    <xf numFmtId="3" fontId="25" fillId="0" borderId="15" xfId="10" applyNumberFormat="1" applyFont="1" applyBorder="1" applyAlignment="1">
      <alignment horizontal="right" vertical="center" wrapText="1"/>
    </xf>
    <xf numFmtId="3" fontId="33" fillId="0" borderId="0" xfId="10" applyNumberFormat="1" applyFont="1" applyAlignment="1">
      <alignment horizontal="left" vertical="center"/>
    </xf>
    <xf numFmtId="3" fontId="33" fillId="0" borderId="0" xfId="10" applyNumberFormat="1" applyFont="1" applyAlignment="1">
      <alignment horizontal="center"/>
    </xf>
    <xf numFmtId="3" fontId="30" fillId="0" borderId="0" xfId="10" applyNumberFormat="1" applyFont="1" applyAlignment="1">
      <alignment horizontal="center"/>
    </xf>
    <xf numFmtId="3" fontId="36" fillId="0" borderId="0" xfId="10" applyNumberFormat="1" applyFont="1" applyAlignment="1">
      <alignment horizontal="center"/>
    </xf>
    <xf numFmtId="3" fontId="30" fillId="0" borderId="0" xfId="10" applyNumberFormat="1" applyFont="1" applyBorder="1" applyAlignment="1">
      <alignment horizontal="center"/>
    </xf>
    <xf numFmtId="0" fontId="20" fillId="0" borderId="0" xfId="10" applyFont="1" applyBorder="1"/>
    <xf numFmtId="3" fontId="20" fillId="0" borderId="0" xfId="10" applyNumberFormat="1" applyFont="1" applyBorder="1" applyAlignment="1">
      <alignment horizontal="center" vertical="center" wrapText="1"/>
    </xf>
    <xf numFmtId="0" fontId="25" fillId="0" borderId="0" xfId="9" applyFont="1" applyFill="1"/>
    <xf numFmtId="0" fontId="20" fillId="0" borderId="0" xfId="9" applyFont="1" applyFill="1"/>
    <xf numFmtId="0" fontId="34" fillId="0" borderId="0" xfId="9" applyFont="1" applyFill="1"/>
    <xf numFmtId="0" fontId="20" fillId="0" borderId="0" xfId="9" applyFont="1" applyFill="1" applyAlignment="1">
      <alignment horizontal="right"/>
    </xf>
    <xf numFmtId="0" fontId="20" fillId="0" borderId="0" xfId="9" applyFont="1" applyFill="1" applyAlignment="1">
      <alignment vertical="center"/>
    </xf>
    <xf numFmtId="0" fontId="20" fillId="0" borderId="5" xfId="9" applyFont="1" applyFill="1" applyBorder="1" applyAlignment="1">
      <alignment horizontal="center" vertical="top" wrapText="1"/>
    </xf>
    <xf numFmtId="0" fontId="20" fillId="0" borderId="6" xfId="9" applyFont="1" applyFill="1" applyBorder="1" applyAlignment="1">
      <alignment horizontal="center" vertical="top" wrapText="1"/>
    </xf>
    <xf numFmtId="0" fontId="20" fillId="0" borderId="7" xfId="9" applyFont="1" applyFill="1" applyBorder="1" applyAlignment="1">
      <alignment horizontal="center" vertical="top" wrapText="1"/>
    </xf>
    <xf numFmtId="1" fontId="20" fillId="0" borderId="0" xfId="9" applyNumberFormat="1" applyFont="1" applyFill="1" applyAlignment="1">
      <alignment vertical="center"/>
    </xf>
    <xf numFmtId="1" fontId="20" fillId="0" borderId="11" xfId="9" applyNumberFormat="1" applyFont="1" applyFill="1" applyBorder="1" applyAlignment="1">
      <alignment horizontal="right" vertical="center"/>
    </xf>
    <xf numFmtId="1" fontId="20" fillId="0" borderId="0" xfId="9" applyNumberFormat="1" applyFont="1" applyFill="1" applyBorder="1" applyAlignment="1">
      <alignment horizontal="right" vertical="center"/>
    </xf>
    <xf numFmtId="1" fontId="20" fillId="0" borderId="12" xfId="9" applyNumberFormat="1" applyFont="1" applyFill="1" applyBorder="1" applyAlignment="1">
      <alignment horizontal="right" vertical="center"/>
    </xf>
    <xf numFmtId="1" fontId="20" fillId="0" borderId="13" xfId="9" applyNumberFormat="1" applyFont="1" applyFill="1" applyBorder="1" applyAlignment="1">
      <alignment horizontal="right" vertical="center"/>
    </xf>
    <xf numFmtId="1" fontId="20" fillId="0" borderId="14" xfId="9" applyNumberFormat="1" applyFont="1" applyFill="1" applyBorder="1" applyAlignment="1">
      <alignment horizontal="right" vertical="center"/>
    </xf>
    <xf numFmtId="1" fontId="20" fillId="0" borderId="15" xfId="9" applyNumberFormat="1" applyFont="1" applyFill="1" applyBorder="1" applyAlignment="1">
      <alignment horizontal="right" vertical="center"/>
    </xf>
    <xf numFmtId="0" fontId="20" fillId="0" borderId="0" xfId="10" applyFont="1" applyFill="1" applyAlignment="1">
      <alignment horizontal="center"/>
    </xf>
    <xf numFmtId="1" fontId="20" fillId="0" borderId="0" xfId="9" applyNumberFormat="1" applyFont="1" applyFill="1"/>
    <xf numFmtId="3" fontId="20" fillId="0" borderId="0" xfId="10" applyNumberFormat="1" applyFont="1" applyFill="1" applyAlignment="1">
      <alignment horizontal="center"/>
    </xf>
    <xf numFmtId="3" fontId="21" fillId="0" borderId="0" xfId="10" applyNumberFormat="1" applyFont="1" applyFill="1" applyAlignment="1">
      <alignment horizontal="center"/>
    </xf>
    <xf numFmtId="0" fontId="21" fillId="0" borderId="1" xfId="11" applyNumberFormat="1" applyFont="1" applyBorder="1" applyAlignment="1" applyProtection="1">
      <alignment horizontal="center" vertical="center"/>
    </xf>
    <xf numFmtId="3" fontId="21" fillId="0" borderId="1" xfId="10" applyNumberFormat="1" applyFont="1" applyBorder="1" applyAlignment="1">
      <alignment horizontal="center" vertical="center" wrapText="1"/>
    </xf>
    <xf numFmtId="3" fontId="20" fillId="0" borderId="2" xfId="10" applyNumberFormat="1" applyFont="1" applyBorder="1" applyAlignment="1">
      <alignment horizontal="left"/>
    </xf>
    <xf numFmtId="3" fontId="20" fillId="0" borderId="3" xfId="10" applyNumberFormat="1" applyFont="1" applyBorder="1" applyAlignment="1">
      <alignment horizontal="left"/>
    </xf>
    <xf numFmtId="3" fontId="5" fillId="0" borderId="0" xfId="10" applyNumberFormat="1" applyFont="1" applyAlignment="1">
      <alignment wrapText="1"/>
    </xf>
    <xf numFmtId="3" fontId="20" fillId="0" borderId="0" xfId="10" applyNumberFormat="1" applyFont="1" applyAlignment="1">
      <alignment horizontal="right" wrapText="1"/>
    </xf>
    <xf numFmtId="167" fontId="2" fillId="0" borderId="2" xfId="11" applyNumberFormat="1" applyBorder="1" applyAlignment="1">
      <alignment wrapText="1"/>
    </xf>
    <xf numFmtId="167" fontId="2" fillId="0" borderId="3" xfId="11" applyNumberFormat="1" applyBorder="1" applyAlignment="1">
      <alignment wrapText="1"/>
    </xf>
    <xf numFmtId="3" fontId="20" fillId="0" borderId="5" xfId="10" applyNumberFormat="1" applyFont="1" applyBorder="1" applyAlignment="1">
      <alignment horizontal="right" vertical="center" wrapText="1"/>
    </xf>
    <xf numFmtId="3" fontId="20" fillId="0" borderId="6" xfId="10" applyNumberFormat="1" applyFont="1" applyBorder="1" applyAlignment="1">
      <alignment horizontal="right" vertical="center" wrapText="1"/>
    </xf>
    <xf numFmtId="3" fontId="20" fillId="0" borderId="7" xfId="10" applyNumberFormat="1" applyFont="1" applyBorder="1" applyAlignment="1">
      <alignment horizontal="right" vertical="center" wrapText="1"/>
    </xf>
    <xf numFmtId="3" fontId="21" fillId="0" borderId="5" xfId="10" applyNumberFormat="1" applyFont="1" applyBorder="1" applyAlignment="1">
      <alignment horizontal="right" vertical="center" wrapText="1"/>
    </xf>
    <xf numFmtId="3" fontId="21" fillId="0" borderId="7" xfId="10" applyNumberFormat="1" applyFont="1" applyBorder="1" applyAlignment="1">
      <alignment horizontal="right" vertical="center" wrapText="1"/>
    </xf>
    <xf numFmtId="3" fontId="20" fillId="0" borderId="18" xfId="10" applyNumberFormat="1" applyFont="1" applyFill="1" applyBorder="1" applyAlignment="1">
      <alignment horizontal="center" vertical="top" wrapText="1"/>
    </xf>
    <xf numFmtId="0" fontId="21" fillId="0" borderId="4" xfId="10" applyFont="1" applyBorder="1" applyAlignment="1">
      <alignment vertical="center" wrapText="1"/>
    </xf>
    <xf numFmtId="3" fontId="21" fillId="0" borderId="8" xfId="10" applyNumberFormat="1" applyFont="1" applyBorder="1" applyAlignment="1">
      <alignment horizontal="right" vertical="center" wrapText="1"/>
    </xf>
    <xf numFmtId="3" fontId="21" fillId="0" borderId="9" xfId="10" applyNumberFormat="1" applyFont="1" applyBorder="1" applyAlignment="1">
      <alignment horizontal="right" vertical="center" wrapText="1"/>
    </xf>
    <xf numFmtId="3" fontId="21" fillId="0" borderId="10" xfId="10" applyNumberFormat="1" applyFont="1" applyBorder="1" applyAlignment="1">
      <alignment horizontal="right" vertical="center" wrapText="1"/>
    </xf>
    <xf numFmtId="0" fontId="20" fillId="0" borderId="2" xfId="9" applyFont="1" applyFill="1" applyBorder="1" applyAlignment="1">
      <alignment vertical="center" wrapText="1"/>
    </xf>
    <xf numFmtId="3" fontId="21" fillId="0" borderId="11" xfId="10" applyNumberFormat="1" applyFont="1" applyBorder="1" applyAlignment="1">
      <alignment horizontal="right" vertical="center" wrapText="1"/>
    </xf>
    <xf numFmtId="3" fontId="21" fillId="0" borderId="12" xfId="10" applyNumberFormat="1" applyFont="1" applyBorder="1" applyAlignment="1">
      <alignment horizontal="right" vertical="center" wrapText="1"/>
    </xf>
    <xf numFmtId="0" fontId="20" fillId="0" borderId="4" xfId="10" applyFont="1" applyBorder="1" applyAlignment="1">
      <alignment vertical="center" wrapText="1"/>
    </xf>
    <xf numFmtId="3" fontId="21" fillId="0" borderId="13" xfId="10" applyNumberFormat="1" applyFont="1" applyBorder="1" applyAlignment="1">
      <alignment horizontal="right" vertical="center" wrapText="1"/>
    </xf>
    <xf numFmtId="3" fontId="21" fillId="0" borderId="15" xfId="10" applyNumberFormat="1" applyFont="1" applyBorder="1" applyAlignment="1">
      <alignment horizontal="right" vertical="center" wrapText="1"/>
    </xf>
    <xf numFmtId="166" fontId="20" fillId="0" borderId="5" xfId="10" applyNumberFormat="1" applyFont="1" applyBorder="1" applyAlignment="1">
      <alignment horizontal="right" vertical="center" wrapText="1"/>
    </xf>
    <xf numFmtId="166" fontId="20" fillId="0" borderId="6" xfId="10" applyNumberFormat="1" applyFont="1" applyBorder="1" applyAlignment="1">
      <alignment horizontal="right" vertical="center" wrapText="1"/>
    </xf>
    <xf numFmtId="166" fontId="20" fillId="0" borderId="7" xfId="10" applyNumberFormat="1" applyFont="1" applyBorder="1" applyAlignment="1">
      <alignment horizontal="right" vertical="center" wrapText="1"/>
    </xf>
    <xf numFmtId="166" fontId="21" fillId="0" borderId="5" xfId="10" applyNumberFormat="1" applyFont="1" applyBorder="1" applyAlignment="1">
      <alignment horizontal="right" vertical="center" wrapText="1"/>
    </xf>
    <xf numFmtId="166" fontId="21" fillId="0" borderId="7" xfId="10" applyNumberFormat="1" applyFont="1" applyBorder="1" applyAlignment="1">
      <alignment horizontal="right" vertical="center" wrapText="1"/>
    </xf>
    <xf numFmtId="0" fontId="24" fillId="0" borderId="11" xfId="10" applyFont="1" applyBorder="1" applyAlignment="1">
      <alignment vertical="center" wrapText="1"/>
    </xf>
    <xf numFmtId="0" fontId="20" fillId="0" borderId="0" xfId="9" applyFont="1" applyAlignment="1">
      <alignment horizontal="left" vertical="center"/>
    </xf>
    <xf numFmtId="0" fontId="20" fillId="0" borderId="0" xfId="10" applyFont="1" applyAlignment="1"/>
    <xf numFmtId="0" fontId="21" fillId="0" borderId="0" xfId="10" applyFont="1" applyAlignment="1"/>
    <xf numFmtId="0" fontId="20" fillId="0" borderId="0" xfId="10" applyFont="1" applyAlignment="1">
      <alignment horizontal="left"/>
    </xf>
    <xf numFmtId="165" fontId="20" fillId="0" borderId="0" xfId="10" applyNumberFormat="1" applyFont="1" applyAlignment="1">
      <alignment horizontal="center" vertical="center"/>
    </xf>
    <xf numFmtId="165" fontId="20" fillId="0" borderId="0" xfId="10" applyNumberFormat="1" applyFont="1" applyAlignment="1">
      <alignment horizontal="right" vertical="center"/>
    </xf>
    <xf numFmtId="0" fontId="34" fillId="0" borderId="0" xfId="10" applyFont="1" applyAlignment="1">
      <alignment vertical="center"/>
    </xf>
    <xf numFmtId="0" fontId="24" fillId="0" borderId="4" xfId="10" applyFont="1" applyBorder="1" applyAlignment="1">
      <alignment vertical="center"/>
    </xf>
    <xf numFmtId="0" fontId="24" fillId="0" borderId="2" xfId="10" applyFont="1" applyBorder="1" applyAlignment="1">
      <alignment vertical="center"/>
    </xf>
    <xf numFmtId="0" fontId="24" fillId="0" borderId="3" xfId="10" applyFont="1" applyBorder="1" applyAlignment="1">
      <alignment vertical="center"/>
    </xf>
    <xf numFmtId="0" fontId="20" fillId="0" borderId="1" xfId="10" applyFont="1" applyBorder="1" applyAlignment="1">
      <alignment vertical="center"/>
    </xf>
    <xf numFmtId="0" fontId="34" fillId="0" borderId="0" xfId="9" applyFont="1" applyAlignment="1">
      <alignment vertical="center"/>
    </xf>
    <xf numFmtId="3" fontId="20" fillId="0" borderId="0" xfId="10" applyNumberFormat="1" applyFont="1" applyAlignment="1">
      <alignment vertical="center"/>
    </xf>
    <xf numFmtId="3" fontId="20" fillId="0" borderId="0" xfId="10" quotePrefix="1" applyNumberFormat="1" applyFont="1" applyAlignment="1">
      <alignment vertical="center"/>
    </xf>
    <xf numFmtId="3" fontId="26" fillId="0" borderId="0" xfId="0" applyNumberFormat="1" applyFont="1" applyAlignment="1">
      <alignment horizontal="center"/>
    </xf>
    <xf numFmtId="3" fontId="24" fillId="0" borderId="0" xfId="0" applyNumberFormat="1" applyFont="1" applyAlignment="1">
      <alignment horizontal="right"/>
    </xf>
    <xf numFmtId="1" fontId="25" fillId="0" borderId="43" xfId="10" applyNumberFormat="1" applyFont="1" applyBorder="1" applyAlignment="1">
      <alignment horizontal="center" vertical="center"/>
    </xf>
    <xf numFmtId="1" fontId="25" fillId="0" borderId="39" xfId="10" applyNumberFormat="1" applyFont="1" applyBorder="1" applyAlignment="1">
      <alignment horizontal="center" vertical="center"/>
    </xf>
    <xf numFmtId="0" fontId="21" fillId="0" borderId="44" xfId="10" applyFont="1" applyBorder="1" applyAlignment="1">
      <alignment horizontal="center" vertical="center" wrapText="1"/>
    </xf>
    <xf numFmtId="166" fontId="21" fillId="0" borderId="22" xfId="10" applyNumberFormat="1" applyFont="1" applyBorder="1" applyAlignment="1">
      <alignment horizontal="center" vertical="center" wrapText="1"/>
    </xf>
    <xf numFmtId="166" fontId="21" fillId="0" borderId="23" xfId="10" applyNumberFormat="1" applyFont="1" applyBorder="1" applyAlignment="1">
      <alignment horizontal="center" vertical="center" wrapText="1"/>
    </xf>
    <xf numFmtId="166" fontId="21" fillId="0" borderId="24" xfId="10" applyNumberFormat="1" applyFont="1" applyBorder="1" applyAlignment="1">
      <alignment horizontal="center" vertical="center" wrapText="1"/>
    </xf>
    <xf numFmtId="166" fontId="21" fillId="0" borderId="21" xfId="10" applyNumberFormat="1" applyFont="1" applyBorder="1" applyAlignment="1">
      <alignment horizontal="center" vertical="center" wrapText="1"/>
    </xf>
    <xf numFmtId="0" fontId="20" fillId="0" borderId="0" xfId="10" applyFont="1" applyAlignment="1">
      <alignment vertical="top"/>
    </xf>
    <xf numFmtId="0" fontId="21" fillId="0" borderId="8" xfId="10" applyFont="1" applyBorder="1" applyAlignment="1">
      <alignment horizontal="left"/>
    </xf>
    <xf numFmtId="3" fontId="25" fillId="0" borderId="20" xfId="2" applyNumberFormat="1" applyFont="1" applyBorder="1" applyAlignment="1" applyProtection="1">
      <alignment horizontal="right" vertical="center"/>
    </xf>
    <xf numFmtId="3" fontId="25" fillId="0" borderId="28" xfId="2" applyNumberFormat="1" applyFont="1" applyBorder="1" applyAlignment="1" applyProtection="1">
      <alignment horizontal="right" vertical="center"/>
    </xf>
    <xf numFmtId="3" fontId="21" fillId="0" borderId="20" xfId="2" applyNumberFormat="1" applyFont="1" applyBorder="1" applyAlignment="1" applyProtection="1">
      <alignment horizontal="right" vertical="center"/>
    </xf>
    <xf numFmtId="3" fontId="21" fillId="0" borderId="29" xfId="2" applyNumberFormat="1" applyFont="1" applyBorder="1" applyAlignment="1" applyProtection="1">
      <alignment horizontal="right" vertical="center"/>
    </xf>
    <xf numFmtId="3" fontId="21" fillId="0" borderId="31" xfId="2" applyNumberFormat="1" applyFont="1" applyBorder="1" applyAlignment="1" applyProtection="1">
      <alignment horizontal="right" vertical="center"/>
    </xf>
    <xf numFmtId="3" fontId="21" fillId="0" borderId="30" xfId="2" applyNumberFormat="1" applyFont="1" applyBorder="1" applyAlignment="1" applyProtection="1">
      <alignment horizontal="right" vertical="center"/>
    </xf>
    <xf numFmtId="0" fontId="20" fillId="0" borderId="11" xfId="10" applyFont="1" applyBorder="1" applyAlignment="1">
      <alignment horizontal="left" indent="1"/>
    </xf>
    <xf numFmtId="3" fontId="24" fillId="0" borderId="32" xfId="2" applyNumberFormat="1" applyFont="1" applyBorder="1" applyAlignment="1" applyProtection="1">
      <alignment horizontal="right" vertical="center"/>
    </xf>
    <xf numFmtId="3" fontId="24" fillId="0" borderId="17" xfId="2" applyNumberFormat="1" applyFont="1" applyBorder="1" applyAlignment="1" applyProtection="1">
      <alignment horizontal="right" vertical="center"/>
    </xf>
    <xf numFmtId="3" fontId="25" fillId="0" borderId="32" xfId="2" applyNumberFormat="1" applyFont="1" applyBorder="1" applyAlignment="1" applyProtection="1">
      <alignment horizontal="right" vertical="center"/>
    </xf>
    <xf numFmtId="3" fontId="20" fillId="0" borderId="32" xfId="2" applyNumberFormat="1" applyFont="1" applyBorder="1" applyAlignment="1" applyProtection="1">
      <alignment horizontal="right" vertical="center"/>
    </xf>
    <xf numFmtId="3" fontId="20" fillId="0" borderId="16" xfId="2" applyNumberFormat="1" applyFont="1" applyBorder="1" applyAlignment="1" applyProtection="1">
      <alignment horizontal="right" vertical="center"/>
    </xf>
    <xf numFmtId="3" fontId="20" fillId="0" borderId="34" xfId="2" applyNumberFormat="1" applyFont="1" applyBorder="1" applyAlignment="1" applyProtection="1">
      <alignment horizontal="right" vertical="center"/>
    </xf>
    <xf numFmtId="3" fontId="20" fillId="0" borderId="33" xfId="2" applyNumberFormat="1" applyFont="1" applyBorder="1" applyAlignment="1" applyProtection="1">
      <alignment horizontal="right" vertical="center"/>
    </xf>
    <xf numFmtId="0" fontId="21" fillId="0" borderId="11" xfId="10" applyFont="1" applyBorder="1"/>
    <xf numFmtId="3" fontId="25" fillId="0" borderId="32" xfId="10" applyNumberFormat="1" applyFont="1" applyBorder="1" applyAlignment="1">
      <alignment horizontal="right" vertical="center"/>
    </xf>
    <xf numFmtId="3" fontId="25" fillId="0" borderId="17" xfId="10" applyNumberFormat="1" applyFont="1" applyBorder="1" applyAlignment="1">
      <alignment horizontal="right" vertical="center"/>
    </xf>
    <xf numFmtId="3" fontId="21" fillId="0" borderId="32" xfId="10" applyNumberFormat="1" applyFont="1" applyBorder="1" applyAlignment="1">
      <alignment horizontal="right" vertical="center"/>
    </xf>
    <xf numFmtId="3" fontId="21" fillId="0" borderId="16" xfId="10" applyNumberFormat="1" applyFont="1" applyBorder="1" applyAlignment="1">
      <alignment horizontal="right" vertical="center"/>
    </xf>
    <xf numFmtId="3" fontId="21" fillId="0" borderId="34" xfId="10" applyNumberFormat="1" applyFont="1" applyBorder="1" applyAlignment="1">
      <alignment horizontal="right" vertical="center"/>
    </xf>
    <xf numFmtId="3" fontId="21" fillId="0" borderId="33" xfId="10" applyNumberFormat="1" applyFont="1" applyBorder="1" applyAlignment="1">
      <alignment horizontal="right" vertical="center"/>
    </xf>
    <xf numFmtId="0" fontId="21" fillId="0" borderId="11" xfId="10" applyFont="1" applyBorder="1" applyAlignment="1">
      <alignment horizontal="left"/>
    </xf>
    <xf numFmtId="3" fontId="25" fillId="0" borderId="17" xfId="2" applyNumberFormat="1" applyFont="1" applyBorder="1" applyAlignment="1" applyProtection="1">
      <alignment horizontal="right" vertical="center"/>
    </xf>
    <xf numFmtId="3" fontId="21" fillId="0" borderId="32" xfId="2" applyNumberFormat="1" applyFont="1" applyBorder="1" applyAlignment="1" applyProtection="1">
      <alignment horizontal="right" vertical="center"/>
    </xf>
    <xf numFmtId="3" fontId="21" fillId="0" borderId="16" xfId="2" applyNumberFormat="1" applyFont="1" applyBorder="1" applyAlignment="1" applyProtection="1">
      <alignment horizontal="right" vertical="center"/>
    </xf>
    <xf numFmtId="3" fontId="21" fillId="0" borderId="34" xfId="2" applyNumberFormat="1" applyFont="1" applyBorder="1" applyAlignment="1" applyProtection="1">
      <alignment horizontal="right" vertical="center"/>
    </xf>
    <xf numFmtId="3" fontId="21" fillId="0" borderId="33" xfId="2" applyNumberFormat="1" applyFont="1" applyBorder="1" applyAlignment="1" applyProtection="1">
      <alignment horizontal="right" vertical="center"/>
    </xf>
    <xf numFmtId="0" fontId="21" fillId="0" borderId="5" xfId="10" applyFont="1" applyBorder="1" applyAlignment="1">
      <alignment vertical="center" wrapText="1"/>
    </xf>
    <xf numFmtId="167" fontId="25" fillId="0" borderId="45" xfId="10" applyNumberFormat="1" applyFont="1" applyBorder="1" applyAlignment="1">
      <alignment horizontal="right" vertical="center"/>
    </xf>
    <xf numFmtId="167" fontId="21" fillId="0" borderId="45" xfId="10" applyNumberFormat="1" applyFont="1" applyBorder="1" applyAlignment="1">
      <alignment horizontal="right" vertical="center"/>
    </xf>
    <xf numFmtId="167" fontId="21" fillId="0" borderId="47" xfId="10" applyNumberFormat="1" applyFont="1" applyBorder="1" applyAlignment="1">
      <alignment horizontal="right" vertical="center"/>
    </xf>
    <xf numFmtId="167" fontId="21" fillId="0" borderId="48" xfId="10" applyNumberFormat="1" applyFont="1" applyBorder="1" applyAlignment="1">
      <alignment horizontal="right" vertical="center"/>
    </xf>
    <xf numFmtId="167" fontId="21" fillId="0" borderId="49" xfId="10" applyNumberFormat="1" applyFont="1" applyBorder="1" applyAlignment="1">
      <alignment horizontal="right" vertical="center"/>
    </xf>
    <xf numFmtId="0" fontId="21" fillId="0" borderId="1" xfId="10" applyFont="1" applyBorder="1" applyAlignment="1">
      <alignment horizontal="center" vertical="center"/>
    </xf>
    <xf numFmtId="0" fontId="21" fillId="0" borderId="2" xfId="10" applyFont="1" applyBorder="1"/>
    <xf numFmtId="3" fontId="20" fillId="0" borderId="2" xfId="10" applyNumberFormat="1" applyFont="1" applyBorder="1"/>
    <xf numFmtId="0" fontId="20" fillId="0" borderId="3" xfId="10" applyFont="1" applyBorder="1"/>
    <xf numFmtId="3" fontId="20" fillId="0" borderId="3" xfId="10" applyNumberFormat="1" applyFont="1" applyBorder="1"/>
    <xf numFmtId="3" fontId="34" fillId="0" borderId="0" xfId="10" applyNumberFormat="1" applyFont="1"/>
    <xf numFmtId="3" fontId="12" fillId="0" borderId="2" xfId="5" quotePrefix="1" applyNumberFormat="1" applyFont="1" applyBorder="1" applyAlignment="1">
      <alignment horizontal="right"/>
    </xf>
    <xf numFmtId="3" fontId="12" fillId="0" borderId="2" xfId="5" applyNumberFormat="1" applyFont="1" applyBorder="1" applyAlignment="1">
      <alignment horizontal="right"/>
    </xf>
    <xf numFmtId="3" fontId="12" fillId="0" borderId="3" xfId="5" applyNumberFormat="1" applyFont="1" applyBorder="1" applyAlignment="1">
      <alignment horizontal="right"/>
    </xf>
    <xf numFmtId="3" fontId="12" fillId="0" borderId="3" xfId="5" quotePrefix="1" applyNumberFormat="1" applyFont="1" applyBorder="1" applyAlignment="1">
      <alignment horizontal="right"/>
    </xf>
    <xf numFmtId="166" fontId="12" fillId="0" borderId="3" xfId="5" applyNumberFormat="1" applyFont="1" applyBorder="1" applyAlignment="1">
      <alignment horizontal="center" vertical="center"/>
    </xf>
    <xf numFmtId="3" fontId="25" fillId="0" borderId="16" xfId="10" applyNumberFormat="1" applyFont="1" applyFill="1" applyBorder="1" applyAlignment="1">
      <alignment horizontal="right" vertical="center" wrapText="1"/>
    </xf>
    <xf numFmtId="3" fontId="25" fillId="0" borderId="17" xfId="10" applyNumberFormat="1" applyFont="1" applyFill="1" applyBorder="1" applyAlignment="1">
      <alignment horizontal="right" vertical="center" wrapText="1"/>
    </xf>
    <xf numFmtId="3" fontId="25" fillId="0" borderId="33" xfId="10" applyNumberFormat="1" applyFont="1" applyFill="1" applyBorder="1" applyAlignment="1">
      <alignment horizontal="right" vertical="center" wrapText="1"/>
    </xf>
    <xf numFmtId="3" fontId="24" fillId="0" borderId="16" xfId="10" applyNumberFormat="1" applyFont="1" applyFill="1" applyBorder="1" applyAlignment="1">
      <alignment horizontal="right" vertical="center" wrapText="1"/>
    </xf>
    <xf numFmtId="3" fontId="24" fillId="0" borderId="17" xfId="10" applyNumberFormat="1" applyFont="1" applyFill="1" applyBorder="1" applyAlignment="1">
      <alignment horizontal="right" vertical="center" wrapText="1"/>
    </xf>
    <xf numFmtId="3" fontId="24" fillId="0" borderId="33" xfId="10" applyNumberFormat="1" applyFont="1" applyFill="1" applyBorder="1" applyAlignment="1">
      <alignment horizontal="right" vertical="center" wrapText="1"/>
    </xf>
    <xf numFmtId="0" fontId="21" fillId="0" borderId="0" xfId="9" applyFont="1" applyAlignment="1"/>
    <xf numFmtId="3" fontId="21" fillId="0" borderId="0" xfId="9" applyNumberFormat="1" applyFont="1" applyAlignment="1"/>
    <xf numFmtId="165" fontId="37" fillId="0" borderId="0" xfId="10" applyNumberFormat="1" applyFont="1" applyAlignment="1">
      <alignment horizontal="right"/>
    </xf>
    <xf numFmtId="3" fontId="20" fillId="0" borderId="35" xfId="10" applyNumberFormat="1" applyFont="1" applyBorder="1" applyAlignment="1">
      <alignment horizontal="center" vertical="top" wrapText="1"/>
    </xf>
    <xf numFmtId="3" fontId="20" fillId="0" borderId="26" xfId="10" applyNumberFormat="1" applyFont="1" applyBorder="1" applyAlignment="1">
      <alignment horizontal="center" vertical="top" wrapText="1"/>
    </xf>
    <xf numFmtId="3" fontId="20" fillId="0" borderId="25" xfId="10" applyNumberFormat="1" applyFont="1" applyBorder="1" applyAlignment="1">
      <alignment horizontal="center" vertical="top" wrapText="1"/>
    </xf>
    <xf numFmtId="3" fontId="21" fillId="0" borderId="41" xfId="10" applyNumberFormat="1" applyFont="1" applyBorder="1" applyAlignment="1">
      <alignment horizontal="center" vertical="top" wrapText="1"/>
    </xf>
    <xf numFmtId="3" fontId="21" fillId="0" borderId="42" xfId="10" applyNumberFormat="1" applyFont="1" applyBorder="1" applyAlignment="1">
      <alignment horizontal="center" vertical="top" wrapText="1"/>
    </xf>
    <xf numFmtId="3" fontId="21" fillId="0" borderId="16" xfId="10" applyNumberFormat="1" applyFont="1" applyBorder="1" applyAlignment="1">
      <alignment horizontal="right" vertical="center" wrapText="1"/>
    </xf>
    <xf numFmtId="3" fontId="21" fillId="0" borderId="17" xfId="10" applyNumberFormat="1" applyFont="1" applyBorder="1" applyAlignment="1">
      <alignment horizontal="right" vertical="center" wrapText="1"/>
    </xf>
    <xf numFmtId="3" fontId="21" fillId="0" borderId="2" xfId="10" applyNumberFormat="1" applyFont="1" applyBorder="1" applyAlignment="1">
      <alignment horizontal="right" vertical="center" wrapText="1"/>
    </xf>
    <xf numFmtId="3" fontId="21" fillId="0" borderId="33" xfId="10" applyNumberFormat="1" applyFont="1" applyBorder="1" applyAlignment="1">
      <alignment horizontal="right" vertical="center" wrapText="1"/>
    </xf>
    <xf numFmtId="3" fontId="20" fillId="0" borderId="16" xfId="10" applyNumberFormat="1" applyFont="1" applyBorder="1" applyAlignment="1">
      <alignment horizontal="right" vertical="center" wrapText="1"/>
    </xf>
    <xf numFmtId="3" fontId="20" fillId="0" borderId="17" xfId="10" applyNumberFormat="1" applyFont="1" applyBorder="1" applyAlignment="1">
      <alignment horizontal="right" vertical="center" wrapText="1"/>
    </xf>
    <xf numFmtId="3" fontId="20" fillId="0" borderId="33" xfId="10" applyNumberFormat="1" applyFont="1" applyBorder="1" applyAlignment="1">
      <alignment horizontal="right" vertical="center" wrapText="1"/>
    </xf>
    <xf numFmtId="0" fontId="21" fillId="0" borderId="2" xfId="10" applyFont="1" applyBorder="1" applyAlignment="1">
      <alignment vertical="center" wrapText="1"/>
    </xf>
    <xf numFmtId="0" fontId="20" fillId="0" borderId="2" xfId="10" applyFont="1" applyBorder="1" applyAlignment="1">
      <alignment horizontal="left" vertical="center" wrapText="1" indent="1"/>
    </xf>
    <xf numFmtId="0" fontId="21" fillId="0" borderId="3" xfId="10" applyFont="1" applyBorder="1" applyAlignment="1">
      <alignment vertical="center" wrapText="1"/>
    </xf>
    <xf numFmtId="167" fontId="20" fillId="0" borderId="13" xfId="10" applyNumberFormat="1" applyFont="1" applyBorder="1" applyAlignment="1">
      <alignment horizontal="right" vertical="center" wrapText="1"/>
    </xf>
    <xf numFmtId="167" fontId="20" fillId="0" borderId="38" xfId="10" applyNumberFormat="1" applyFont="1" applyBorder="1" applyAlignment="1">
      <alignment horizontal="right" vertical="center" wrapText="1"/>
    </xf>
    <xf numFmtId="167" fontId="20" fillId="0" borderId="39" xfId="10" applyNumberFormat="1" applyFont="1" applyBorder="1" applyAlignment="1">
      <alignment horizontal="right" vertical="center" wrapText="1"/>
    </xf>
    <xf numFmtId="167" fontId="21" fillId="0" borderId="3" xfId="10" applyNumberFormat="1" applyFont="1" applyBorder="1" applyAlignment="1">
      <alignment horizontal="right" vertical="center" wrapText="1"/>
    </xf>
    <xf numFmtId="167" fontId="20" fillId="0" borderId="40" xfId="10" applyNumberFormat="1" applyFont="1" applyBorder="1" applyAlignment="1">
      <alignment horizontal="right" vertical="center" wrapText="1"/>
    </xf>
    <xf numFmtId="167" fontId="21" fillId="0" borderId="15" xfId="10" applyNumberFormat="1" applyFont="1" applyBorder="1" applyAlignment="1">
      <alignment horizontal="right" vertical="center" wrapText="1"/>
    </xf>
    <xf numFmtId="3" fontId="34" fillId="0" borderId="0" xfId="10" applyNumberFormat="1" applyFont="1" applyAlignment="1">
      <alignment horizontal="center"/>
    </xf>
    <xf numFmtId="0" fontId="20" fillId="0" borderId="0" xfId="0" applyFont="1"/>
    <xf numFmtId="166" fontId="25" fillId="0" borderId="45" xfId="10" applyNumberFormat="1" applyFont="1" applyBorder="1" applyAlignment="1">
      <alignment horizontal="right" vertical="center"/>
    </xf>
    <xf numFmtId="166" fontId="25" fillId="0" borderId="46" xfId="10" applyNumberFormat="1" applyFont="1" applyBorder="1" applyAlignment="1">
      <alignment horizontal="right" vertical="center"/>
    </xf>
    <xf numFmtId="0" fontId="42" fillId="0" borderId="0" xfId="1" applyFont="1" applyBorder="1" applyProtection="1"/>
    <xf numFmtId="0" fontId="42" fillId="0" borderId="0" xfId="1" applyFont="1"/>
    <xf numFmtId="0" fontId="31" fillId="0" borderId="8" xfId="9" applyFont="1" applyFill="1" applyBorder="1" applyAlignment="1">
      <alignment vertical="center"/>
    </xf>
    <xf numFmtId="0" fontId="31" fillId="0" borderId="9" xfId="9" applyFont="1" applyFill="1" applyBorder="1" applyAlignment="1">
      <alignment vertical="center"/>
    </xf>
    <xf numFmtId="0" fontId="31" fillId="0" borderId="10" xfId="9" applyFont="1" applyFill="1" applyBorder="1" applyAlignment="1">
      <alignment vertical="center"/>
    </xf>
    <xf numFmtId="0" fontId="20" fillId="0" borderId="11" xfId="9" applyFont="1" applyFill="1" applyBorder="1" applyAlignment="1">
      <alignment vertical="center"/>
    </xf>
    <xf numFmtId="0" fontId="20" fillId="0" borderId="13" xfId="9" applyFont="1" applyFill="1" applyBorder="1" applyAlignment="1">
      <alignment vertical="center"/>
    </xf>
    <xf numFmtId="0" fontId="31" fillId="0" borderId="4" xfId="9" applyFont="1" applyFill="1" applyBorder="1" applyAlignment="1">
      <alignment vertical="center"/>
    </xf>
    <xf numFmtId="3" fontId="21" fillId="0" borderId="2" xfId="9" applyNumberFormat="1" applyFont="1" applyFill="1" applyBorder="1" applyAlignment="1">
      <alignment horizontal="right" vertical="center"/>
    </xf>
    <xf numFmtId="3" fontId="21" fillId="0" borderId="3" xfId="9" applyNumberFormat="1" applyFont="1" applyFill="1" applyBorder="1" applyAlignment="1">
      <alignment horizontal="right" vertical="center"/>
    </xf>
    <xf numFmtId="0" fontId="24" fillId="0" borderId="2" xfId="10" applyFont="1" applyFill="1" applyBorder="1" applyAlignment="1">
      <alignment horizontal="left" vertical="center" wrapText="1" indent="1"/>
    </xf>
    <xf numFmtId="3" fontId="24" fillId="0" borderId="13" xfId="10" applyNumberFormat="1" applyFont="1" applyFill="1" applyBorder="1" applyAlignment="1">
      <alignment horizontal="right" vertical="center" wrapText="1"/>
    </xf>
    <xf numFmtId="3" fontId="24" fillId="0" borderId="38" xfId="10" applyNumberFormat="1" applyFont="1" applyFill="1" applyBorder="1" applyAlignment="1">
      <alignment horizontal="right" vertical="center" wrapText="1"/>
    </xf>
    <xf numFmtId="3" fontId="24" fillId="0" borderId="39" xfId="10" applyNumberFormat="1" applyFont="1" applyFill="1" applyBorder="1" applyAlignment="1">
      <alignment horizontal="right" vertical="center" wrapText="1"/>
    </xf>
    <xf numFmtId="3" fontId="24" fillId="0" borderId="40" xfId="10" applyNumberFormat="1" applyFont="1" applyFill="1" applyBorder="1" applyAlignment="1">
      <alignment horizontal="right" vertical="center" wrapText="1"/>
    </xf>
    <xf numFmtId="3" fontId="25" fillId="0" borderId="15" xfId="10" applyNumberFormat="1" applyFont="1" applyFill="1" applyBorder="1" applyAlignment="1">
      <alignment horizontal="right" vertical="center" wrapText="1"/>
    </xf>
    <xf numFmtId="0" fontId="24" fillId="0" borderId="2" xfId="10" applyFont="1" applyFill="1" applyBorder="1" applyAlignment="1">
      <alignment horizontal="left" vertical="center" wrapText="1"/>
    </xf>
    <xf numFmtId="0" fontId="24" fillId="0" borderId="13" xfId="10" applyFont="1" applyFill="1" applyBorder="1" applyAlignment="1">
      <alignment horizontal="left" vertical="center" wrapText="1"/>
    </xf>
    <xf numFmtId="0" fontId="23" fillId="0" borderId="0" xfId="0" applyFont="1" applyBorder="1" applyAlignment="1">
      <alignment horizontal="left" wrapText="1"/>
    </xf>
    <xf numFmtId="0" fontId="30" fillId="0" borderId="0" xfId="10" applyFont="1" applyBorder="1" applyAlignment="1">
      <alignment horizontal="center"/>
    </xf>
    <xf numFmtId="0" fontId="24" fillId="0" borderId="0" xfId="10" applyFont="1" applyBorder="1" applyAlignment="1">
      <alignment horizontal="left" vertical="center" wrapText="1"/>
    </xf>
    <xf numFmtId="0" fontId="12" fillId="0" borderId="0" xfId="9" applyFont="1" applyBorder="1" applyAlignment="1">
      <alignment horizontal="left" vertical="center" wrapText="1"/>
    </xf>
    <xf numFmtId="0" fontId="2" fillId="0" borderId="0" xfId="10" applyFont="1" applyBorder="1" applyAlignment="1">
      <alignment horizontal="left" vertical="center" wrapText="1"/>
    </xf>
    <xf numFmtId="0" fontId="11" fillId="0" borderId="1" xfId="10" applyFont="1" applyBorder="1" applyAlignment="1">
      <alignment horizontal="center" vertical="center"/>
    </xf>
    <xf numFmtId="3" fontId="8" fillId="0" borderId="4" xfId="10" applyNumberFormat="1" applyFont="1" applyBorder="1" applyAlignment="1">
      <alignment horizontal="center" vertical="center" wrapText="1"/>
    </xf>
    <xf numFmtId="0" fontId="2" fillId="0" borderId="0" xfId="10" applyFont="1" applyFill="1" applyBorder="1" applyAlignment="1">
      <alignment vertical="center" wrapText="1"/>
    </xf>
    <xf numFmtId="0" fontId="2" fillId="0" borderId="0" xfId="10" applyFont="1" applyBorder="1" applyAlignment="1">
      <alignment vertical="center" wrapText="1"/>
    </xf>
    <xf numFmtId="3" fontId="11" fillId="0" borderId="4" xfId="10" applyNumberFormat="1" applyFont="1" applyBorder="1" applyAlignment="1">
      <alignment horizontal="center" vertical="center" wrapText="1"/>
    </xf>
    <xf numFmtId="3" fontId="11" fillId="0" borderId="3" xfId="10" applyNumberFormat="1" applyFont="1" applyBorder="1" applyAlignment="1">
      <alignment horizontal="center" vertical="center" wrapText="1"/>
    </xf>
    <xf numFmtId="3" fontId="11" fillId="0" borderId="8" xfId="10" applyNumberFormat="1" applyFont="1" applyBorder="1" applyAlignment="1">
      <alignment horizontal="center" vertical="center" wrapText="1"/>
    </xf>
    <xf numFmtId="3" fontId="11" fillId="0" borderId="13" xfId="10" applyNumberFormat="1" applyFont="1" applyBorder="1" applyAlignment="1">
      <alignment horizontal="center" vertical="center" wrapText="1"/>
    </xf>
    <xf numFmtId="3" fontId="11" fillId="0" borderId="9" xfId="10" applyNumberFormat="1" applyFont="1" applyBorder="1" applyAlignment="1">
      <alignment horizontal="center" vertical="center" wrapText="1"/>
    </xf>
    <xf numFmtId="3" fontId="11" fillId="0" borderId="14" xfId="10" applyNumberFormat="1" applyFont="1" applyBorder="1" applyAlignment="1">
      <alignment horizontal="center" vertical="center" wrapText="1"/>
    </xf>
    <xf numFmtId="3" fontId="11" fillId="0" borderId="10" xfId="10" applyNumberFormat="1" applyFont="1" applyBorder="1" applyAlignment="1">
      <alignment horizontal="center" vertical="center" wrapText="1"/>
    </xf>
    <xf numFmtId="3" fontId="11" fillId="0" borderId="15" xfId="10" applyNumberFormat="1" applyFont="1" applyBorder="1" applyAlignment="1">
      <alignment horizontal="center" vertical="center" wrapText="1"/>
    </xf>
    <xf numFmtId="0" fontId="20" fillId="0" borderId="0" xfId="10" applyFont="1" applyBorder="1" applyAlignment="1">
      <alignment horizontal="left" wrapText="1"/>
    </xf>
    <xf numFmtId="0" fontId="20" fillId="0" borderId="0" xfId="10" applyFont="1" applyBorder="1" applyAlignment="1">
      <alignment horizontal="left" vertical="center" wrapText="1"/>
    </xf>
    <xf numFmtId="0" fontId="25" fillId="0" borderId="4" xfId="10" applyFont="1" applyBorder="1" applyAlignment="1">
      <alignment horizontal="center" vertical="center"/>
    </xf>
    <xf numFmtId="3" fontId="40" fillId="0" borderId="1" xfId="10" applyNumberFormat="1" applyFont="1" applyBorder="1" applyAlignment="1">
      <alignment horizontal="center" vertical="center" wrapText="1"/>
    </xf>
    <xf numFmtId="3" fontId="40" fillId="0" borderId="4" xfId="10" applyNumberFormat="1" applyFont="1" applyBorder="1" applyAlignment="1">
      <alignment horizontal="center" vertical="center" wrapText="1"/>
    </xf>
    <xf numFmtId="3" fontId="25" fillId="0" borderId="4" xfId="10" applyNumberFormat="1" applyFont="1" applyBorder="1" applyAlignment="1">
      <alignment horizontal="center" vertical="center" wrapText="1"/>
    </xf>
    <xf numFmtId="0" fontId="24" fillId="0" borderId="9" xfId="9" applyFont="1" applyFill="1" applyBorder="1" applyAlignment="1">
      <alignment vertical="center" wrapText="1"/>
    </xf>
    <xf numFmtId="0" fontId="20" fillId="0" borderId="0" xfId="10" applyFont="1" applyFill="1" applyAlignment="1">
      <alignment horizontal="left" vertical="center"/>
    </xf>
    <xf numFmtId="0" fontId="21" fillId="0" borderId="1" xfId="9" applyFont="1" applyFill="1" applyBorder="1" applyAlignment="1">
      <alignment horizontal="center" vertical="center" wrapText="1"/>
    </xf>
    <xf numFmtId="0" fontId="21" fillId="0" borderId="1" xfId="9" applyFont="1" applyFill="1" applyBorder="1" applyAlignment="1">
      <alignment horizontal="center" vertical="center"/>
    </xf>
    <xf numFmtId="0" fontId="25" fillId="0" borderId="4" xfId="9" applyFont="1" applyFill="1" applyBorder="1" applyAlignment="1">
      <alignment horizontal="center" vertical="center" wrapText="1"/>
    </xf>
    <xf numFmtId="0" fontId="25" fillId="0" borderId="3" xfId="9" applyFont="1" applyFill="1" applyBorder="1" applyAlignment="1">
      <alignment horizontal="center" vertical="center" wrapText="1"/>
    </xf>
    <xf numFmtId="0" fontId="20" fillId="0" borderId="0" xfId="10" applyFont="1" applyBorder="1" applyAlignment="1">
      <alignment vertical="center" wrapText="1"/>
    </xf>
    <xf numFmtId="0" fontId="25" fillId="0" borderId="1" xfId="10" applyFont="1" applyBorder="1" applyAlignment="1">
      <alignment horizontal="center" vertical="center"/>
    </xf>
    <xf numFmtId="3" fontId="21" fillId="0" borderId="4" xfId="10" applyNumberFormat="1" applyFont="1" applyBorder="1" applyAlignment="1">
      <alignment horizontal="center" vertical="top" wrapText="1"/>
    </xf>
    <xf numFmtId="3" fontId="20" fillId="0" borderId="1" xfId="10" applyNumberFormat="1" applyFont="1" applyBorder="1" applyAlignment="1">
      <alignment horizontal="center" vertical="top" wrapText="1"/>
    </xf>
    <xf numFmtId="3" fontId="20" fillId="0" borderId="5" xfId="10" applyNumberFormat="1" applyFont="1" applyBorder="1" applyAlignment="1">
      <alignment horizontal="center" vertical="top" wrapText="1"/>
    </xf>
    <xf numFmtId="3" fontId="20" fillId="0" borderId="6" xfId="10" applyNumberFormat="1" applyFont="1" applyBorder="1" applyAlignment="1">
      <alignment horizontal="center" vertical="top" wrapText="1"/>
    </xf>
    <xf numFmtId="3" fontId="20" fillId="0" borderId="9" xfId="10" applyNumberFormat="1" applyFont="1" applyBorder="1" applyAlignment="1">
      <alignment horizontal="center" vertical="top" wrapText="1"/>
    </xf>
    <xf numFmtId="3" fontId="33" fillId="0" borderId="7" xfId="10" applyNumberFormat="1" applyFont="1" applyBorder="1" applyAlignment="1">
      <alignment horizontal="center" vertical="top" wrapText="1"/>
    </xf>
    <xf numFmtId="3" fontId="33" fillId="0" borderId="19" xfId="10" applyNumberFormat="1" applyFont="1" applyFill="1" applyBorder="1" applyAlignment="1">
      <alignment horizontal="center" vertical="top" wrapText="1"/>
    </xf>
    <xf numFmtId="0" fontId="20" fillId="0" borderId="0" xfId="10" applyFont="1" applyBorder="1" applyAlignment="1">
      <alignment horizontal="left" vertical="center" wrapText="1" readingOrder="1"/>
    </xf>
    <xf numFmtId="3" fontId="25" fillId="0" borderId="8" xfId="10" applyNumberFormat="1" applyFont="1" applyBorder="1" applyAlignment="1">
      <alignment horizontal="center" vertical="top" wrapText="1"/>
    </xf>
    <xf numFmtId="3" fontId="25" fillId="0" borderId="11" xfId="10" applyNumberFormat="1" applyFont="1" applyBorder="1" applyAlignment="1">
      <alignment horizontal="center" vertical="top" wrapText="1"/>
    </xf>
    <xf numFmtId="3" fontId="25" fillId="0" borderId="13" xfId="10" applyNumberFormat="1" applyFont="1" applyBorder="1" applyAlignment="1">
      <alignment horizontal="center" vertical="top" wrapText="1"/>
    </xf>
    <xf numFmtId="3" fontId="25" fillId="0" borderId="10" xfId="10" applyNumberFormat="1" applyFont="1" applyBorder="1" applyAlignment="1">
      <alignment horizontal="center" vertical="top" wrapText="1"/>
    </xf>
    <xf numFmtId="3" fontId="25" fillId="0" borderId="12" xfId="10" applyNumberFormat="1" applyFont="1" applyBorder="1" applyAlignment="1">
      <alignment horizontal="center" vertical="top" wrapText="1"/>
    </xf>
    <xf numFmtId="3" fontId="25" fillId="0" borderId="15" xfId="10" applyNumberFormat="1" applyFont="1" applyBorder="1" applyAlignment="1">
      <alignment horizontal="center" vertical="top" wrapText="1"/>
    </xf>
    <xf numFmtId="0" fontId="21" fillId="0" borderId="1" xfId="10" applyFont="1" applyBorder="1" applyAlignment="1">
      <alignment horizontal="center" vertical="center"/>
    </xf>
    <xf numFmtId="0" fontId="21" fillId="0" borderId="5" xfId="10" applyFont="1" applyBorder="1" applyAlignment="1">
      <alignment horizontal="center" vertical="center"/>
    </xf>
    <xf numFmtId="0" fontId="21" fillId="0" borderId="1" xfId="10" applyFont="1" applyBorder="1" applyAlignment="1">
      <alignment horizontal="center" vertical="center" wrapText="1"/>
    </xf>
    <xf numFmtId="0" fontId="24" fillId="0" borderId="9" xfId="9" applyFont="1" applyBorder="1" applyAlignment="1">
      <alignment vertical="center" wrapText="1"/>
    </xf>
    <xf numFmtId="0" fontId="24" fillId="0" borderId="9" xfId="10" applyFont="1" applyBorder="1" applyAlignment="1">
      <alignment vertical="center" wrapText="1"/>
    </xf>
    <xf numFmtId="0" fontId="24" fillId="0" borderId="0" xfId="10" applyFont="1" applyBorder="1" applyAlignment="1">
      <alignment vertical="center" wrapText="1"/>
    </xf>
    <xf numFmtId="0" fontId="20" fillId="0" borderId="0" xfId="10" applyFont="1" applyAlignment="1">
      <alignment vertical="center"/>
    </xf>
    <xf numFmtId="0" fontId="20" fillId="0" borderId="0" xfId="10" applyFont="1" applyBorder="1" applyAlignment="1">
      <alignment wrapText="1"/>
    </xf>
    <xf numFmtId="166" fontId="12" fillId="0" borderId="0" xfId="5" applyNumberFormat="1" applyFont="1" applyBorder="1" applyAlignment="1">
      <alignment horizontal="center"/>
    </xf>
    <xf numFmtId="0" fontId="11" fillId="0" borderId="4" xfId="5" applyFont="1" applyBorder="1" applyAlignment="1">
      <alignment horizontal="center" vertical="center"/>
    </xf>
    <xf numFmtId="0" fontId="11" fillId="0" borderId="3" xfId="5" applyFont="1" applyBorder="1" applyAlignment="1">
      <alignment horizontal="center" vertical="center"/>
    </xf>
    <xf numFmtId="166" fontId="11" fillId="0" borderId="1" xfId="5" applyNumberFormat="1" applyFont="1" applyBorder="1" applyAlignment="1">
      <alignment horizontal="center" vertical="center"/>
    </xf>
    <xf numFmtId="0" fontId="24" fillId="0" borderId="9" xfId="10" applyFont="1" applyBorder="1"/>
    <xf numFmtId="0" fontId="24" fillId="0" borderId="0" xfId="0" applyFont="1" applyAlignment="1">
      <alignment vertical="center" wrapText="1"/>
    </xf>
    <xf numFmtId="0" fontId="9" fillId="0" borderId="0" xfId="7" applyFont="1"/>
    <xf numFmtId="0" fontId="2" fillId="0" borderId="0" xfId="10" applyFont="1" applyAlignment="1">
      <alignment horizontal="left" vertical="center"/>
    </xf>
    <xf numFmtId="0" fontId="24" fillId="0" borderId="0" xfId="9" applyFont="1" applyFill="1" applyAlignment="1">
      <alignment horizontal="left" vertical="center"/>
    </xf>
    <xf numFmtId="0" fontId="24" fillId="0" borderId="0" xfId="10" applyFont="1" applyFill="1" applyAlignment="1">
      <alignment horizontal="left" vertical="center"/>
    </xf>
    <xf numFmtId="0" fontId="24" fillId="0" borderId="9" xfId="9" applyFont="1" applyFill="1" applyBorder="1" applyAlignment="1">
      <alignment horizontal="left" vertical="center" wrapText="1"/>
    </xf>
    <xf numFmtId="0" fontId="25" fillId="0" borderId="4" xfId="10" applyFont="1" applyFill="1" applyBorder="1" applyAlignment="1">
      <alignment horizontal="center" vertical="center"/>
    </xf>
    <xf numFmtId="3" fontId="25" fillId="0" borderId="36" xfId="10" applyNumberFormat="1" applyFont="1" applyFill="1" applyBorder="1" applyAlignment="1">
      <alignment horizontal="center" vertical="center" wrapText="1"/>
    </xf>
    <xf numFmtId="3" fontId="25" fillId="0" borderId="37" xfId="10" applyNumberFormat="1" applyFont="1" applyFill="1" applyBorder="1" applyAlignment="1">
      <alignment horizontal="center" vertical="center" wrapText="1"/>
    </xf>
    <xf numFmtId="3" fontId="25" fillId="0" borderId="1" xfId="10" applyNumberFormat="1" applyFont="1" applyFill="1" applyBorder="1" applyAlignment="1">
      <alignment horizontal="center" vertical="center" wrapText="1"/>
    </xf>
    <xf numFmtId="0" fontId="24" fillId="0" borderId="0" xfId="9" applyFont="1" applyBorder="1" applyAlignment="1">
      <alignment horizontal="left" vertical="center" wrapText="1"/>
    </xf>
    <xf numFmtId="1" fontId="21" fillId="0" borderId="37" xfId="10" applyNumberFormat="1" applyFont="1" applyBorder="1" applyAlignment="1">
      <alignment horizontal="center" vertical="center" wrapText="1"/>
    </xf>
    <xf numFmtId="0" fontId="20" fillId="0" borderId="0" xfId="9" applyFont="1" applyBorder="1" applyAlignment="1">
      <alignment wrapText="1"/>
    </xf>
    <xf numFmtId="0" fontId="24" fillId="0" borderId="0" xfId="9" applyFont="1" applyBorder="1" applyAlignment="1">
      <alignment wrapText="1"/>
    </xf>
  </cellXfs>
  <cellStyles count="12">
    <cellStyle name="Lien hypertexte" xfId="1" builtinId="8"/>
    <cellStyle name="Milliers 2" xfId="2" xr:uid="{00000000-0005-0000-0000-000006000000}"/>
    <cellStyle name="Normal" xfId="0" builtinId="0"/>
    <cellStyle name="Normal 12" xfId="3" xr:uid="{00000000-0005-0000-0000-000007000000}"/>
    <cellStyle name="Normal 14" xfId="4" xr:uid="{00000000-0005-0000-0000-000008000000}"/>
    <cellStyle name="Normal 15" xfId="5" xr:uid="{00000000-0005-0000-0000-000009000000}"/>
    <cellStyle name="Normal 16" xfId="6" xr:uid="{00000000-0005-0000-0000-00000A000000}"/>
    <cellStyle name="Normal 2" xfId="7" xr:uid="{00000000-0005-0000-0000-00000B000000}"/>
    <cellStyle name="Normal 2 2" xfId="8" xr:uid="{00000000-0005-0000-0000-00000C000000}"/>
    <cellStyle name="Normal 3" xfId="9" xr:uid="{00000000-0005-0000-0000-00000D000000}"/>
    <cellStyle name="Normal 4" xfId="10" xr:uid="{00000000-0005-0000-0000-00000E000000}"/>
    <cellStyle name="Pourcentage 2" xfId="11" xr:uid="{00000000-0005-0000-0000-00000F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E96CB"/>
      <rgbColor rgb="FF800000"/>
      <rgbColor rgb="6600B050"/>
      <rgbColor rgb="FF000080"/>
      <rgbColor rgb="FF808000"/>
      <rgbColor rgb="FF800080"/>
      <rgbColor rgb="FF0B749D"/>
      <rgbColor rgb="FFBFBFBF"/>
      <rgbColor rgb="FF808080"/>
      <rgbColor rgb="FF6CAFDB"/>
      <rgbColor rgb="FF7030A0"/>
      <rgbColor rgb="FFFFFFCC"/>
      <rgbColor rgb="FFC1E5F5"/>
      <rgbColor rgb="FF660066"/>
      <rgbColor rgb="FFFF8080"/>
      <rgbColor rgb="FF0070C0"/>
      <rgbColor rgb="FFBCD5EB"/>
      <rgbColor rgb="FF000080"/>
      <rgbColor rgb="FFFF00FF"/>
      <rgbColor rgb="FFFFFF00"/>
      <rgbColor rgb="FF0E93C7"/>
      <rgbColor rgb="FF800080"/>
      <rgbColor rgb="FF800000"/>
      <rgbColor rgb="FF0B7CA8"/>
      <rgbColor rgb="FF0000FF"/>
      <rgbColor rgb="FF00B0F0"/>
      <rgbColor rgb="FFAFCEE7"/>
      <rgbColor rgb="FFD9D9D9"/>
      <rgbColor rgb="FFFFFF99"/>
      <rgbColor rgb="FF96DCF8"/>
      <rgbColor rgb="FFFF99CC"/>
      <rgbColor rgb="FF97C1E2"/>
      <rgbColor rgb="FFFFCC99"/>
      <rgbColor rgb="660070C0"/>
      <rgbColor rgb="FF5EABD9"/>
      <rgbColor rgb="FF99CC00"/>
      <rgbColor rgb="FFFFC000"/>
      <rgbColor rgb="66FFC000"/>
      <rgbColor rgb="FFFF420E"/>
      <rgbColor rgb="FF467886"/>
      <rgbColor rgb="FFB3B3B3"/>
      <rgbColor rgb="FF004586"/>
      <rgbColor rgb="FF00B050"/>
      <rgbColor rgb="FF003300"/>
      <rgbColor rgb="FF333300"/>
      <rgbColor rgb="66FF0000"/>
      <rgbColor rgb="FF993366"/>
      <rgbColor rgb="FF0C87B6"/>
      <rgbColor rgb="FF595959"/>
      <rgbColor rgb="00003366"/>
      <rgbColor rgb="00339966"/>
      <rgbColor rgb="00003300"/>
      <rgbColor rgb="00333300"/>
      <rgbColor rgb="00993300"/>
      <rgbColor rgb="00993366"/>
      <rgbColor rgb="00333399"/>
      <rgbColor rgb="00333333"/>
    </indexedColors>
    <mruColors>
      <color rgb="FF08BAB7"/>
      <color rgb="FF3DD7D5"/>
      <color rgb="FF008280"/>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1"/>
    <c:plotArea>
      <c:layout>
        <c:manualLayout>
          <c:layoutTarget val="inner"/>
          <c:xMode val="edge"/>
          <c:yMode val="edge"/>
          <c:x val="7.4945910861099099E-2"/>
          <c:y val="5.6737588652482303E-2"/>
          <c:w val="0.86386845521419298"/>
          <c:h val="0.71617021276595805"/>
        </c:manualLayout>
      </c:layout>
      <c:lineChart>
        <c:grouping val="standard"/>
        <c:varyColors val="0"/>
        <c:ser>
          <c:idx val="0"/>
          <c:order val="0"/>
          <c:spPr>
            <a:ln w="38160">
              <a:solidFill>
                <a:srgbClr val="004586"/>
              </a:solidFill>
              <a:round/>
            </a:ln>
          </c:spPr>
          <c:marker>
            <c:symbol val="square"/>
            <c:size val="7"/>
            <c:spPr>
              <a:solidFill>
                <a:srgbClr val="004586"/>
              </a:solidFill>
            </c:spPr>
          </c:marker>
          <c:dLbls>
            <c:spPr>
              <a:noFill/>
              <a:ln>
                <a:noFill/>
              </a:ln>
              <a:effectLst/>
            </c:spPr>
            <c:txPr>
              <a:bodyPr wrap="square"/>
              <a:lstStyle/>
              <a:p>
                <a:pPr>
                  <a:defRPr sz="1000" b="0" u="none" strike="noStrike">
                    <a:solidFill>
                      <a:srgbClr val="000000"/>
                    </a:solidFill>
                    <a:uFillTx/>
                    <a:latin typeface="Arial"/>
                    <a:ea typeface="Arial"/>
                  </a:defRPr>
                </a:pPr>
                <a:endParaRPr lang="fr-F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8160">
                      <a:solidFill>
                        <a:srgbClr val="000000"/>
                      </a:solidFill>
                    </a:ln>
                  </c:spPr>
                </c15:leaderLines>
              </c:ext>
            </c:extLst>
          </c:dLbls>
          <c:val>
            <c:numRef>
              <c:f>0</c:f>
              <c:numCache>
                <c:formatCode>General</c:formatCode>
                <c:ptCount val="1"/>
                <c:pt idx="0">
                  <c:v>0</c:v>
                </c:pt>
              </c:numCache>
            </c:numRef>
          </c:val>
          <c:smooth val="0"/>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'graph 1 - evol'!#REF!</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1"/>
                      <c:pt idx="0">
                        <c:v>1</c:v>
                      </c:pt>
                    </c:strCache>
                  </c:strRef>
                </c15:cat>
              </c15:filteredCategoryTitle>
            </c:ext>
            <c:ext xmlns:c16="http://schemas.microsoft.com/office/drawing/2014/chart" uri="{C3380CC4-5D6E-409C-BE32-E72D297353CC}">
              <c16:uniqueId val="{00000000-6A35-49CE-AB64-3C1AC0F9D9AC}"/>
            </c:ext>
          </c:extLst>
        </c:ser>
        <c:ser>
          <c:idx val="1"/>
          <c:order val="1"/>
          <c:spPr>
            <a:ln w="38160">
              <a:solidFill>
                <a:srgbClr val="FF420E"/>
              </a:solidFill>
              <a:round/>
            </a:ln>
          </c:spPr>
          <c:marker>
            <c:symbol val="diamond"/>
            <c:size val="7"/>
            <c:spPr>
              <a:solidFill>
                <a:srgbClr val="FF420E"/>
              </a:solidFill>
            </c:spPr>
          </c:marker>
          <c:dLbls>
            <c:spPr>
              <a:noFill/>
              <a:ln>
                <a:noFill/>
              </a:ln>
              <a:effectLst/>
            </c:spPr>
            <c:txPr>
              <a:bodyPr wrap="square"/>
              <a:lstStyle/>
              <a:p>
                <a:pPr>
                  <a:defRPr sz="1000" b="0" u="none" strike="noStrike">
                    <a:solidFill>
                      <a:srgbClr val="000000"/>
                    </a:solidFill>
                    <a:uFillTx/>
                    <a:latin typeface="Arial"/>
                    <a:ea typeface="Arial"/>
                  </a:defRPr>
                </a:pPr>
                <a:endParaRPr lang="fr-F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8160">
                      <a:solidFill>
                        <a:srgbClr val="000000"/>
                      </a:solidFill>
                    </a:ln>
                  </c:spPr>
                </c15:leaderLines>
              </c:ext>
            </c:extLst>
          </c:dLbls>
          <c:val>
            <c:numRef>
              <c:f>1</c:f>
              <c:numCache>
                <c:formatCode>General</c:formatCode>
                <c:ptCount val="1"/>
                <c:pt idx="0">
                  <c:v>0</c:v>
                </c:pt>
              </c:numCache>
            </c:numRef>
          </c:val>
          <c:smooth val="0"/>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'graph 1 - evol'!#REF!</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1"/>
                      <c:pt idx="0">
                        <c:v>1</c:v>
                      </c:pt>
                    </c:strCache>
                  </c:strRef>
                </c15:cat>
              </c15:filteredCategoryTitle>
            </c:ext>
            <c:ext xmlns:c16="http://schemas.microsoft.com/office/drawing/2014/chart" uri="{C3380CC4-5D6E-409C-BE32-E72D297353CC}">
              <c16:uniqueId val="{00000001-6A35-49CE-AB64-3C1AC0F9D9AC}"/>
            </c:ext>
          </c:extLst>
        </c:ser>
        <c:dLbls>
          <c:showLegendKey val="0"/>
          <c:showVal val="0"/>
          <c:showCatName val="0"/>
          <c:showSerName val="0"/>
          <c:showPercent val="0"/>
          <c:showBubbleSize val="0"/>
        </c:dLbls>
        <c:hiLowLines>
          <c:spPr>
            <a:ln w="0">
              <a:noFill/>
            </a:ln>
          </c:spPr>
        </c:hiLowLines>
        <c:marker val="1"/>
        <c:smooth val="0"/>
        <c:axId val="95804735"/>
        <c:axId val="36043758"/>
      </c:lineChart>
      <c:catAx>
        <c:axId val="95804735"/>
        <c:scaling>
          <c:orientation val="minMax"/>
        </c:scaling>
        <c:delete val="0"/>
        <c:axPos val="b"/>
        <c:numFmt formatCode="General" sourceLinked="0"/>
        <c:majorTickMark val="out"/>
        <c:minorTickMark val="none"/>
        <c:tickLblPos val="nextTo"/>
        <c:spPr>
          <a:ln w="3240">
            <a:solidFill>
              <a:srgbClr val="B3B3B3"/>
            </a:solidFill>
            <a:round/>
          </a:ln>
        </c:spPr>
        <c:txPr>
          <a:bodyPr/>
          <a:lstStyle/>
          <a:p>
            <a:pPr>
              <a:defRPr sz="1000" b="0" u="none" strike="noStrike">
                <a:solidFill>
                  <a:srgbClr val="000000"/>
                </a:solidFill>
                <a:uFillTx/>
                <a:latin typeface="Arial"/>
                <a:ea typeface="Arial"/>
              </a:defRPr>
            </a:pPr>
            <a:endParaRPr lang="fr-FR"/>
          </a:p>
        </c:txPr>
        <c:crossAx val="36043758"/>
        <c:crosses val="autoZero"/>
        <c:auto val="1"/>
        <c:lblAlgn val="ctr"/>
        <c:lblOffset val="100"/>
        <c:noMultiLvlLbl val="0"/>
      </c:catAx>
      <c:valAx>
        <c:axId val="36043758"/>
        <c:scaling>
          <c:orientation val="minMax"/>
        </c:scaling>
        <c:delete val="0"/>
        <c:axPos val="l"/>
        <c:majorGridlines>
          <c:spPr>
            <a:ln w="3240">
              <a:solidFill>
                <a:srgbClr val="B3B3B3"/>
              </a:solidFill>
              <a:round/>
            </a:ln>
          </c:spPr>
        </c:majorGridlines>
        <c:numFmt formatCode="General" sourceLinked="0"/>
        <c:majorTickMark val="out"/>
        <c:minorTickMark val="none"/>
        <c:tickLblPos val="nextTo"/>
        <c:spPr>
          <a:ln w="3240">
            <a:solidFill>
              <a:srgbClr val="B3B3B3"/>
            </a:solidFill>
            <a:round/>
          </a:ln>
        </c:spPr>
        <c:txPr>
          <a:bodyPr/>
          <a:lstStyle/>
          <a:p>
            <a:pPr>
              <a:defRPr sz="1000" b="0" u="none" strike="noStrike">
                <a:solidFill>
                  <a:srgbClr val="000000"/>
                </a:solidFill>
                <a:uFillTx/>
                <a:latin typeface="Arial"/>
                <a:ea typeface="Arial"/>
              </a:defRPr>
            </a:pPr>
            <a:endParaRPr lang="fr-FR"/>
          </a:p>
        </c:txPr>
        <c:crossAx val="95804735"/>
        <c:crossesAt val="1"/>
        <c:crossBetween val="midCat"/>
      </c:valAx>
      <c:spPr>
        <a:noFill/>
        <a:ln w="3240">
          <a:solidFill>
            <a:srgbClr val="B3B3B3"/>
          </a:solidFill>
          <a:round/>
        </a:ln>
      </c:spPr>
    </c:plotArea>
    <c:legend>
      <c:legendPos val="r"/>
      <c:overlay val="0"/>
      <c:spPr>
        <a:noFill/>
        <a:ln w="25560">
          <a:noFill/>
        </a:ln>
      </c:spPr>
      <c:txPr>
        <a:bodyPr/>
        <a:lstStyle/>
        <a:p>
          <a:pPr>
            <a:defRPr sz="920" b="0" u="none" strike="noStrike">
              <a:solidFill>
                <a:srgbClr val="000000"/>
              </a:solidFill>
              <a:uFillTx/>
              <a:latin typeface="Arial"/>
              <a:ea typeface="Arial"/>
            </a:defRPr>
          </a:pPr>
          <a:endParaRPr lang="fr-FR"/>
        </a:p>
      </c:txPr>
    </c:legend>
    <c:plotVisOnly val="1"/>
    <c:dispBlanksAs val="gap"/>
    <c:showDLblsOverMax val="1"/>
  </c:chart>
  <c:spPr>
    <a:solidFill>
      <a:srgbClr val="FFFFFF"/>
    </a:solidFill>
    <a:ln w="648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1"/>
    <c:plotArea>
      <c:layout>
        <c:manualLayout>
          <c:layoutTarget val="inner"/>
          <c:xMode val="edge"/>
          <c:yMode val="edge"/>
          <c:x val="7.4943092278059897E-2"/>
          <c:y val="5.6731583403895003E-2"/>
          <c:w val="0.86385921905095397"/>
          <c:h val="0.71620095963872399"/>
        </c:manualLayout>
      </c:layout>
      <c:lineChart>
        <c:grouping val="standard"/>
        <c:varyColors val="0"/>
        <c:ser>
          <c:idx val="0"/>
          <c:order val="0"/>
          <c:spPr>
            <a:ln w="38160">
              <a:solidFill>
                <a:srgbClr val="004586"/>
              </a:solidFill>
              <a:round/>
            </a:ln>
          </c:spPr>
          <c:marker>
            <c:symbol val="square"/>
            <c:size val="7"/>
            <c:spPr>
              <a:solidFill>
                <a:srgbClr val="004586"/>
              </a:solidFill>
            </c:spPr>
          </c:marker>
          <c:dLbls>
            <c:spPr>
              <a:noFill/>
              <a:ln>
                <a:noFill/>
              </a:ln>
              <a:effectLst/>
            </c:spPr>
            <c:txPr>
              <a:bodyPr wrap="square"/>
              <a:lstStyle/>
              <a:p>
                <a:pPr>
                  <a:defRPr sz="1000" b="0" u="none" strike="noStrike">
                    <a:solidFill>
                      <a:srgbClr val="000000"/>
                    </a:solidFill>
                    <a:uFillTx/>
                    <a:latin typeface="Arial"/>
                    <a:ea typeface="Arial"/>
                  </a:defRPr>
                </a:pPr>
                <a:endParaRPr lang="fr-F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8160">
                      <a:solidFill>
                        <a:srgbClr val="000000"/>
                      </a:solidFill>
                    </a:ln>
                  </c:spPr>
                </c15:leaderLines>
              </c:ext>
            </c:extLst>
          </c:dLbls>
          <c:val>
            <c:numRef>
              <c:f>0</c:f>
              <c:numCache>
                <c:formatCode>General</c:formatCode>
                <c:ptCount val="1"/>
                <c:pt idx="0">
                  <c:v>0</c:v>
                </c:pt>
              </c:numCache>
            </c:numRef>
          </c:val>
          <c:smooth val="0"/>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'graph 1 - evol'!#REF!</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1"/>
                      <c:pt idx="0">
                        <c:v>1</c:v>
                      </c:pt>
                    </c:strCache>
                  </c:strRef>
                </c15:cat>
              </c15:filteredCategoryTitle>
            </c:ext>
            <c:ext xmlns:c16="http://schemas.microsoft.com/office/drawing/2014/chart" uri="{C3380CC4-5D6E-409C-BE32-E72D297353CC}">
              <c16:uniqueId val="{00000000-293A-4A71-AFC1-2B944BF4D821}"/>
            </c:ext>
          </c:extLst>
        </c:ser>
        <c:ser>
          <c:idx val="1"/>
          <c:order val="1"/>
          <c:spPr>
            <a:ln w="38160">
              <a:solidFill>
                <a:srgbClr val="FF420E"/>
              </a:solidFill>
              <a:round/>
            </a:ln>
          </c:spPr>
          <c:marker>
            <c:symbol val="diamond"/>
            <c:size val="7"/>
            <c:spPr>
              <a:solidFill>
                <a:srgbClr val="FF420E"/>
              </a:solidFill>
            </c:spPr>
          </c:marker>
          <c:dLbls>
            <c:spPr>
              <a:noFill/>
              <a:ln>
                <a:noFill/>
              </a:ln>
              <a:effectLst/>
            </c:spPr>
            <c:txPr>
              <a:bodyPr wrap="square"/>
              <a:lstStyle/>
              <a:p>
                <a:pPr>
                  <a:defRPr sz="1000" b="0" u="none" strike="noStrike">
                    <a:solidFill>
                      <a:srgbClr val="000000"/>
                    </a:solidFill>
                    <a:uFillTx/>
                    <a:latin typeface="Arial"/>
                    <a:ea typeface="Arial"/>
                  </a:defRPr>
                </a:pPr>
                <a:endParaRPr lang="fr-F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8160">
                      <a:solidFill>
                        <a:srgbClr val="000000"/>
                      </a:solidFill>
                    </a:ln>
                  </c:spPr>
                </c15:leaderLines>
              </c:ext>
            </c:extLst>
          </c:dLbls>
          <c:val>
            <c:numRef>
              <c:f>1</c:f>
              <c:numCache>
                <c:formatCode>General</c:formatCode>
                <c:ptCount val="1"/>
                <c:pt idx="0">
                  <c:v>0</c:v>
                </c:pt>
              </c:numCache>
            </c:numRef>
          </c:val>
          <c:smooth val="0"/>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'graph 1 - evol'!#REF!</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1"/>
                      <c:pt idx="0">
                        <c:v>1</c:v>
                      </c:pt>
                    </c:strCache>
                  </c:strRef>
                </c15:cat>
              </c15:filteredCategoryTitle>
            </c:ext>
            <c:ext xmlns:c16="http://schemas.microsoft.com/office/drawing/2014/chart" uri="{C3380CC4-5D6E-409C-BE32-E72D297353CC}">
              <c16:uniqueId val="{00000001-293A-4A71-AFC1-2B944BF4D821}"/>
            </c:ext>
          </c:extLst>
        </c:ser>
        <c:dLbls>
          <c:showLegendKey val="0"/>
          <c:showVal val="0"/>
          <c:showCatName val="0"/>
          <c:showSerName val="0"/>
          <c:showPercent val="0"/>
          <c:showBubbleSize val="0"/>
        </c:dLbls>
        <c:hiLowLines>
          <c:spPr>
            <a:ln w="0">
              <a:noFill/>
            </a:ln>
          </c:spPr>
        </c:hiLowLines>
        <c:marker val="1"/>
        <c:smooth val="0"/>
        <c:axId val="57099598"/>
        <c:axId val="55125437"/>
      </c:lineChart>
      <c:catAx>
        <c:axId val="57099598"/>
        <c:scaling>
          <c:orientation val="minMax"/>
        </c:scaling>
        <c:delete val="0"/>
        <c:axPos val="b"/>
        <c:numFmt formatCode="General" sourceLinked="0"/>
        <c:majorTickMark val="out"/>
        <c:minorTickMark val="none"/>
        <c:tickLblPos val="nextTo"/>
        <c:spPr>
          <a:ln w="3240">
            <a:solidFill>
              <a:srgbClr val="B3B3B3"/>
            </a:solidFill>
            <a:round/>
          </a:ln>
        </c:spPr>
        <c:txPr>
          <a:bodyPr/>
          <a:lstStyle/>
          <a:p>
            <a:pPr>
              <a:defRPr sz="1000" b="0" u="none" strike="noStrike">
                <a:solidFill>
                  <a:srgbClr val="000000"/>
                </a:solidFill>
                <a:uFillTx/>
                <a:latin typeface="Arial"/>
                <a:ea typeface="Arial"/>
              </a:defRPr>
            </a:pPr>
            <a:endParaRPr lang="fr-FR"/>
          </a:p>
        </c:txPr>
        <c:crossAx val="55125437"/>
        <c:crosses val="autoZero"/>
        <c:auto val="1"/>
        <c:lblAlgn val="ctr"/>
        <c:lblOffset val="100"/>
        <c:noMultiLvlLbl val="0"/>
      </c:catAx>
      <c:valAx>
        <c:axId val="55125437"/>
        <c:scaling>
          <c:orientation val="minMax"/>
        </c:scaling>
        <c:delete val="0"/>
        <c:axPos val="l"/>
        <c:majorGridlines>
          <c:spPr>
            <a:ln w="3240">
              <a:solidFill>
                <a:srgbClr val="B3B3B3"/>
              </a:solidFill>
              <a:round/>
            </a:ln>
          </c:spPr>
        </c:majorGridlines>
        <c:numFmt formatCode="General" sourceLinked="0"/>
        <c:majorTickMark val="out"/>
        <c:minorTickMark val="none"/>
        <c:tickLblPos val="nextTo"/>
        <c:spPr>
          <a:ln w="3240">
            <a:solidFill>
              <a:srgbClr val="B3B3B3"/>
            </a:solidFill>
            <a:round/>
          </a:ln>
        </c:spPr>
        <c:txPr>
          <a:bodyPr/>
          <a:lstStyle/>
          <a:p>
            <a:pPr>
              <a:defRPr sz="1000" b="0" u="none" strike="noStrike">
                <a:solidFill>
                  <a:srgbClr val="000000"/>
                </a:solidFill>
                <a:uFillTx/>
                <a:latin typeface="Arial"/>
                <a:ea typeface="Arial"/>
              </a:defRPr>
            </a:pPr>
            <a:endParaRPr lang="fr-FR"/>
          </a:p>
        </c:txPr>
        <c:crossAx val="57099598"/>
        <c:crossesAt val="1"/>
        <c:crossBetween val="midCat"/>
      </c:valAx>
      <c:spPr>
        <a:noFill/>
        <a:ln w="3240">
          <a:solidFill>
            <a:srgbClr val="B3B3B3"/>
          </a:solidFill>
          <a:round/>
        </a:ln>
      </c:spPr>
    </c:plotArea>
    <c:legend>
      <c:legendPos val="r"/>
      <c:overlay val="0"/>
      <c:spPr>
        <a:noFill/>
        <a:ln w="25560">
          <a:noFill/>
        </a:ln>
      </c:spPr>
      <c:txPr>
        <a:bodyPr/>
        <a:lstStyle/>
        <a:p>
          <a:pPr>
            <a:defRPr sz="920" b="0" u="none" strike="noStrike">
              <a:solidFill>
                <a:srgbClr val="000000"/>
              </a:solidFill>
              <a:uFillTx/>
              <a:latin typeface="Arial"/>
              <a:ea typeface="Arial"/>
            </a:defRPr>
          </a:pPr>
          <a:endParaRPr lang="fr-FR"/>
        </a:p>
      </c:txPr>
    </c:legend>
    <c:plotVisOnly val="1"/>
    <c:dispBlanksAs val="gap"/>
    <c:showDLblsOverMax val="1"/>
  </c:chart>
  <c:spPr>
    <a:solidFill>
      <a:srgbClr val="FFFFFF"/>
    </a:solidFill>
    <a:ln w="648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145800</xdr:colOff>
      <xdr:row>134</xdr:row>
      <xdr:rowOff>40680</xdr:rowOff>
    </xdr:from>
    <xdr:to>
      <xdr:col>11</xdr:col>
      <xdr:colOff>504655</xdr:colOff>
      <xdr:row>149</xdr:row>
      <xdr:rowOff>149400</xdr:rowOff>
    </xdr:to>
    <xdr:graphicFrame macro="">
      <xdr:nvGraphicFramePr>
        <xdr:cNvPr id="2" name="Graphique 3">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189720</xdr:colOff>
      <xdr:row>130</xdr:row>
      <xdr:rowOff>57960</xdr:rowOff>
    </xdr:from>
    <xdr:to>
      <xdr:col>9</xdr:col>
      <xdr:colOff>267480</xdr:colOff>
      <xdr:row>146</xdr:row>
      <xdr:rowOff>17640</xdr:rowOff>
    </xdr:to>
    <xdr:graphicFrame macro="">
      <xdr:nvGraphicFramePr>
        <xdr:cNvPr id="5" name="Graphique 3">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Iris rouge">
      <a:dk1>
        <a:sysClr val="windowText" lastClr="000000"/>
      </a:dk1>
      <a:lt1>
        <a:sysClr val="window" lastClr="FFFFFF"/>
      </a:lt1>
      <a:dk2>
        <a:srgbClr val="44546A"/>
      </a:dk2>
      <a:lt2>
        <a:srgbClr val="E7E6E6"/>
      </a:lt2>
      <a:accent1>
        <a:srgbClr val="174695"/>
      </a:accent1>
      <a:accent2>
        <a:srgbClr val="248BFF"/>
      </a:accent2>
      <a:accent3>
        <a:srgbClr val="FB5A5A"/>
      </a:accent3>
      <a:accent4>
        <a:srgbClr val="C4101D"/>
      </a:accent4>
      <a:accent5>
        <a:srgbClr val="BF8101"/>
      </a:accent5>
      <a:accent6>
        <a:srgbClr val="949494"/>
      </a:accent6>
      <a:hlink>
        <a:srgbClr val="0563C1"/>
      </a:hlink>
      <a:folHlink>
        <a:srgbClr val="954F72"/>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tabSelected="1" zoomScaleNormal="100" workbookViewId="0">
      <selection sqref="A1:M1"/>
    </sheetView>
  </sheetViews>
  <sheetFormatPr baseColWidth="10" defaultColWidth="10.75" defaultRowHeight="14.25" customHeight="1"/>
  <cols>
    <col min="1" max="16384" width="10.75" style="69"/>
  </cols>
  <sheetData>
    <row r="1" spans="1:13" s="70" customFormat="1" ht="35.1" customHeight="1">
      <c r="A1" s="444" t="s">
        <v>168</v>
      </c>
      <c r="B1" s="444"/>
      <c r="C1" s="444"/>
      <c r="D1" s="444"/>
      <c r="E1" s="444"/>
      <c r="F1" s="444"/>
      <c r="G1" s="444"/>
      <c r="H1" s="444"/>
      <c r="I1" s="444"/>
      <c r="J1" s="444"/>
      <c r="K1" s="444"/>
      <c r="L1" s="444"/>
      <c r="M1" s="444"/>
    </row>
    <row r="3" spans="1:13" ht="12.75">
      <c r="A3" s="426" t="str">
        <f>'Figure 1'!A1</f>
        <v>Figure 1 – Nombre de chômeurs au sens du BIT et d’inscrits à France Travail en catégorie A, de 2012 à 2025</v>
      </c>
      <c r="B3" s="427"/>
      <c r="C3" s="427"/>
      <c r="D3" s="427"/>
      <c r="E3" s="427"/>
      <c r="F3" s="427"/>
      <c r="G3" s="427"/>
      <c r="H3" s="427"/>
    </row>
    <row r="4" spans="1:13" ht="12.75">
      <c r="A4" s="423"/>
    </row>
    <row r="5" spans="1:13" ht="12.75">
      <c r="A5" s="426" t="str">
        <f>'Figure 2'!A1</f>
        <v>Figure 2 – Répartition des personnes selon leur statut d'activité au sens du BIT et leur catégorie d'inscription à France Travail en 2024</v>
      </c>
      <c r="B5" s="427"/>
      <c r="C5" s="427"/>
      <c r="D5" s="427"/>
      <c r="E5" s="427"/>
      <c r="F5" s="427"/>
      <c r="G5" s="427"/>
      <c r="H5" s="427"/>
      <c r="I5" s="427"/>
    </row>
    <row r="6" spans="1:13" ht="12.75">
      <c r="A6" s="423"/>
    </row>
    <row r="7" spans="1:13" ht="12.75">
      <c r="A7" s="426" t="str">
        <f>'Figure 3'!A1</f>
        <v>Figure 3 – Caractéristiques des inscrits à France Travail en catégorie A et inactifs ou en emploi au sens du BIT en 2024</v>
      </c>
      <c r="B7" s="427"/>
      <c r="C7" s="427"/>
      <c r="D7" s="427"/>
      <c r="E7" s="427"/>
      <c r="F7" s="427"/>
      <c r="G7" s="427"/>
      <c r="H7" s="427"/>
    </row>
    <row r="8" spans="1:13" ht="12.75">
      <c r="A8" s="423"/>
    </row>
    <row r="9" spans="1:13" ht="12.75">
      <c r="A9" s="426" t="str">
        <f>'Figure 4'!A1</f>
        <v>Figure 4 – Caractéristiques des inactifs dans le halo du chômage et hors du halo en 2024, selon l'âge et la catégorie d'inscription à France Travail</v>
      </c>
      <c r="B9" s="427"/>
      <c r="C9" s="427"/>
      <c r="D9" s="427"/>
      <c r="E9" s="427"/>
      <c r="F9" s="427"/>
      <c r="G9" s="427"/>
      <c r="H9" s="427"/>
      <c r="I9" s="427"/>
      <c r="J9" s="427"/>
    </row>
    <row r="10" spans="1:13" ht="12.75">
      <c r="A10" s="423"/>
    </row>
    <row r="11" spans="1:13" ht="12.75">
      <c r="A11" s="426" t="str">
        <f>'Figure 5'!A1</f>
        <v>Figure 5 – Situation des personnes au trimestre T+1 selon leur situation au trimestre T de 2024, selon le statut au sens du BIT et la catégorie d'inscription à France Travail</v>
      </c>
      <c r="B11" s="427"/>
      <c r="C11" s="427"/>
      <c r="D11" s="427"/>
      <c r="E11" s="427"/>
      <c r="F11" s="427"/>
      <c r="G11" s="427"/>
      <c r="H11" s="427"/>
      <c r="I11" s="427"/>
      <c r="J11" s="427"/>
      <c r="K11" s="427"/>
      <c r="L11" s="427"/>
    </row>
    <row r="12" spans="1:13" ht="12.75">
      <c r="A12" s="423"/>
    </row>
    <row r="13" spans="1:13" ht="12.75">
      <c r="A13" s="426" t="str">
        <f>'Figure 6'!A1</f>
        <v>Figure 6 – Répartition selon le statut d'activité au sens du BIT et la catégorie d'inscription à France Travail, par âge en 2024</v>
      </c>
      <c r="B13" s="427"/>
      <c r="C13" s="427"/>
      <c r="D13" s="427"/>
      <c r="E13" s="427"/>
      <c r="F13" s="427"/>
      <c r="G13" s="427"/>
      <c r="H13" s="427"/>
      <c r="I13" s="427"/>
    </row>
    <row r="14" spans="1:13" ht="12.75">
      <c r="A14" s="423"/>
    </row>
    <row r="15" spans="1:13" ht="12.75">
      <c r="A15" s="426" t="str">
        <f>'Figure 7'!A1</f>
        <v>Figure 7 – Caractéristiques des chômeurs au sens du BIT en 2024, selon la catégorie d’inscription à France Travail</v>
      </c>
      <c r="B15" s="427"/>
      <c r="C15" s="427"/>
      <c r="D15" s="427"/>
      <c r="E15" s="427"/>
      <c r="F15" s="427"/>
      <c r="G15" s="427"/>
      <c r="H15" s="427"/>
    </row>
    <row r="16" spans="1:13" ht="12.75">
      <c r="A16" s="423"/>
    </row>
    <row r="17" spans="1:12" ht="12.75">
      <c r="A17" s="426" t="str">
        <f>'Figure 8'!A1</f>
        <v>Figure 8 – Évolution du nombre de personnes inscrites à France Travail en catégorie A ou au chômage au sens du BIT entre 2021 et 2024</v>
      </c>
      <c r="B17" s="427"/>
      <c r="C17" s="427"/>
      <c r="D17" s="427"/>
      <c r="E17" s="427"/>
      <c r="F17" s="427"/>
      <c r="G17" s="427"/>
      <c r="H17" s="427"/>
      <c r="I17" s="427"/>
      <c r="J17" s="427"/>
    </row>
    <row r="18" spans="1:12" ht="12.75">
      <c r="A18" s="423"/>
    </row>
    <row r="19" spans="1:12" ht="12.75">
      <c r="A19" s="426" t="str">
        <f>'Méthodes – Figure'!A1</f>
        <v>Méthodes Figure – Nombre de chômeurs au sens du BIT et d’inscrits à France Travail en catégorie A de 2016 à 2024, selon la source employée</v>
      </c>
      <c r="B19" s="427"/>
      <c r="C19" s="427"/>
      <c r="D19" s="427"/>
      <c r="E19" s="427"/>
      <c r="F19" s="427"/>
      <c r="G19" s="427"/>
      <c r="H19" s="427"/>
      <c r="I19" s="427"/>
      <c r="J19" s="427"/>
    </row>
    <row r="20" spans="1:12" ht="12.75">
      <c r="A20" s="423"/>
    </row>
    <row r="21" spans="1:12" ht="12.75">
      <c r="A21" s="426" t="str">
        <f>'Encadré 2 – Figure'!A1</f>
        <v>Encadré 2 Figure – Évolution de la répartition des inscrits à France Travail en catégorie A, selon le statut au sens du BIT et l'appariement retenu, de 2013 à 2024</v>
      </c>
      <c r="B21" s="427"/>
      <c r="C21" s="427"/>
      <c r="D21" s="427"/>
      <c r="E21" s="427"/>
      <c r="F21" s="427"/>
      <c r="G21" s="427"/>
      <c r="H21" s="427"/>
      <c r="I21" s="427"/>
      <c r="J21" s="427"/>
      <c r="K21" s="427"/>
    </row>
    <row r="22" spans="1:12" ht="12.75">
      <c r="A22" s="423"/>
    </row>
    <row r="23" spans="1:12" ht="12.75">
      <c r="A23" s="426" t="str">
        <f>'Encadré 3 – Figure A'!A1</f>
        <v>Encadré 3 Figure A – Statut d'emploi antérieur des personnes au chômage ou dans le halo du chômage en 2024, selon l'âge et la catégorie d'inscription à France Travail</v>
      </c>
      <c r="B23" s="427"/>
      <c r="C23" s="427"/>
      <c r="D23" s="427"/>
      <c r="E23" s="427"/>
      <c r="F23" s="427"/>
      <c r="G23" s="427"/>
      <c r="H23" s="427"/>
      <c r="I23" s="427"/>
      <c r="J23" s="427"/>
      <c r="K23" s="427"/>
      <c r="L23" s="427"/>
    </row>
    <row r="24" spans="1:12" ht="12.75">
      <c r="A24" s="423"/>
    </row>
    <row r="25" spans="1:12" ht="12.75">
      <c r="A25" s="426" t="str">
        <f>'Encadré 3 – Figure B'!A1</f>
        <v>Encadré 3 Figure B – Inscription à France Travail et recherche active d'emploi des personnes au chômage ou dans son halo en 2024, et variation par rapport à 2021, selon l'âge</v>
      </c>
      <c r="B25" s="427"/>
      <c r="C25" s="427"/>
      <c r="D25" s="427"/>
      <c r="E25" s="427"/>
      <c r="F25" s="427"/>
      <c r="G25" s="427"/>
      <c r="H25" s="427"/>
      <c r="I25" s="427"/>
      <c r="J25" s="427"/>
      <c r="K25" s="427"/>
      <c r="L25" s="427"/>
    </row>
  </sheetData>
  <mergeCells count="1">
    <mergeCell ref="A1:M1"/>
  </mergeCells>
  <hyperlinks>
    <hyperlink ref="A3" location="'Figure 1'!A1" display="Figure 1 - Nombre de chômeurs au sens du BIT et d’inscrits en catégorie A, 2012-2024" xr:uid="{00000000-0004-0000-0000-000000000000}"/>
    <hyperlink ref="A5" location="'Figure 2'!A1" display="Figure 2 - Combinaison des statuts d'activité au sens du BIT et des catégories d'inscription à France Travail en 2024" xr:uid="{00000000-0004-0000-0000-000001000000}"/>
    <hyperlink ref="A7" location="'Figure 3'!A1" display="Figure 3. Caractéristiques des inscrits en catégorie A inactifs ou en emploi en 2024" xr:uid="{00000000-0004-0000-0000-000002000000}"/>
    <hyperlink ref="A9" location="'Figure 4'!A1" display="Figure 4. Caractéristiques des inactifs dans le halo du chômage et hors du halo en 2024, selon la catégorie d'inscription et l'âge" xr:uid="{00000000-0004-0000-0000-000003000000}"/>
    <hyperlink ref="A11" location="'Figure 5'!A1" display="Figure 5 - Situation des personnes au trimestre T+1 selon leur situation au trimestre T de 2024, selon le statut BIT et la catégorie d'inscription à France Travail" xr:uid="{00000000-0004-0000-0000-000004000000}"/>
    <hyperlink ref="A13" location="'Figure 6'!A1" display="Figure 6 - Croisement entre statuts d'activité au sens du BIT et catégories d'inscription à France Travail par âge en 2024" xr:uid="{00000000-0004-0000-0000-000005000000}"/>
    <hyperlink ref="A15" location="'Figure 7'!A1" display="Figure 7. Caractéristiques des chômeurs BIT en 2024, selon la catégorie d’inscription " xr:uid="{00000000-0004-0000-0000-000006000000}"/>
    <hyperlink ref="A17" location="'Figure 8'!A1" display="Figure 8 - Evolution du nombre de personnes inscrites en catégorie A et/ou au chômage au sens du BIT entre 2021 et 2024" xr:uid="{00000000-0004-0000-0000-000007000000}"/>
    <hyperlink ref="A19" location="'Méthodes - Figure'!A1" display="Méthodes Figure. Nombre de chômeurs au sens du BIT et d’inscrits en catégorie A de 2016 à 2024, selon la source employée" xr:uid="{00000000-0004-0000-0000-000008000000}"/>
    <hyperlink ref="A21" location="'Encadré 2 - Figure'!A1" display="Encadré 2 Figure - Evolution de la répartition des inscrits à France Travail en catégorie A, selon le statut au sens du BIT et l'appariement retenu, 2013-2024" xr:uid="{00000000-0004-0000-0000-000009000000}"/>
    <hyperlink ref="A23" location="'Encadré 3 - Figure A'!A1" display="Encadré 3 Figure A - Statut d'emploi antérieur des personnes au chômage ou dans le halo du chômage en 2024, selon l'âge et la catégorie d'inscription à France Travail" xr:uid="{00000000-0004-0000-0000-00000A000000}"/>
    <hyperlink ref="A25" location="'Encadré 3 - Figure B'!A1" display="Encadré 3 Figure B - Inscription à France Travail et recherche active d'emploi des personnes au chômage ou dans son halo en 2024, et variation par rapport à 2021, selon l'âge" xr:uid="{00000000-0004-0000-0000-00000B000000}"/>
    <hyperlink ref="A3:H3" location="'Figure 1'!A1" display="'Figure 1'!A1" xr:uid="{CDF678CB-30E9-4CD8-8F64-387AD35F247C}"/>
    <hyperlink ref="A5:I5" location="'Figure 2'!A1" display="'Figure 2'!A1" xr:uid="{0F2F4298-1092-4015-AC66-5C63CAEA64E1}"/>
    <hyperlink ref="A7:H7" location="'Figure 3'!A1" display="'Figure 3'!A1" xr:uid="{A425AA32-FC90-466F-99BE-39717F608196}"/>
    <hyperlink ref="A9:J9" location="'Figure 4'!A1" display="'Figure 4'!A1" xr:uid="{C2433565-CBA8-4F77-ADDD-DDC0003B7D79}"/>
    <hyperlink ref="A11:L11" location="'Figure 5'!A1" display="'Figure 5'!A1" xr:uid="{C63F459A-9277-45BE-AE42-6CE7BECCE5D0}"/>
    <hyperlink ref="A13:I13" location="'Figure 6'!A1" display="'Figure 6'!A1" xr:uid="{C08AF454-AD8E-4DDF-B239-4C5DA49FB6EE}"/>
    <hyperlink ref="A15:H15" location="'Figure 7'!A1" display="'Figure 7'!A1" xr:uid="{EBDBD540-6C86-4473-A402-6D70B9A6760B}"/>
    <hyperlink ref="A17:J17" location="'Figure 8'!A1" display="'Figure 8'!A1" xr:uid="{10A7B973-32FD-4A4A-9D6F-A0F03BC9B291}"/>
    <hyperlink ref="A19:J19" location="'Méthodes – Figure'!A1" display="'Méthodes – Figure'!A1" xr:uid="{32DFF16B-1525-4656-9F89-38838CB0FE9A}"/>
    <hyperlink ref="A21:K21" location="'Encadré 2 – Figure'!A1" display="'Encadré 2 – Figure'!A1" xr:uid="{1139349D-35CF-41A4-AC62-28A9F2867D12}"/>
    <hyperlink ref="A23:L23" location="'Encadré 3 – Figure A'!A1" display="'Encadré 3 – Figure A'!A1" xr:uid="{2BB0A5F1-ABBA-4120-92FB-CCD43630E0D7}"/>
    <hyperlink ref="A25:L25" location="'Encadré 3 – Figure B'!A1" display="'Encadré 3 – Figure B'!A1" xr:uid="{D70C3B38-BE21-4924-A872-FCF9CBBF1FD5}"/>
  </hyperlinks>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44"/>
  <sheetViews>
    <sheetView zoomScaleNormal="100" workbookViewId="0"/>
  </sheetViews>
  <sheetFormatPr baseColWidth="10" defaultColWidth="10.125" defaultRowHeight="12.75"/>
  <cols>
    <col min="1" max="1" width="31.375" style="72" customWidth="1"/>
    <col min="2" max="3" width="9.875" style="72" customWidth="1"/>
    <col min="4" max="4" width="10" style="72" customWidth="1"/>
    <col min="5" max="5" width="10.125" style="72"/>
    <col min="6" max="6" width="9.25" style="72" customWidth="1"/>
    <col min="7" max="26" width="10.125" style="72"/>
    <col min="27" max="28" width="10.125" style="73"/>
    <col min="29" max="16384" width="10.125" style="72"/>
  </cols>
  <sheetData>
    <row r="1" spans="1:42">
      <c r="A1" s="71" t="s">
        <v>118</v>
      </c>
    </row>
    <row r="2" spans="1:42">
      <c r="O2" s="74" t="s">
        <v>0</v>
      </c>
    </row>
    <row r="3" spans="1:42">
      <c r="A3" s="75" t="s">
        <v>1</v>
      </c>
      <c r="B3" s="76">
        <v>2012</v>
      </c>
      <c r="C3" s="76">
        <f t="shared" ref="C3:O3" si="0">1+B3</f>
        <v>2013</v>
      </c>
      <c r="D3" s="76">
        <f t="shared" si="0"/>
        <v>2014</v>
      </c>
      <c r="E3" s="76">
        <f t="shared" si="0"/>
        <v>2015</v>
      </c>
      <c r="F3" s="76">
        <f t="shared" si="0"/>
        <v>2016</v>
      </c>
      <c r="G3" s="76">
        <f t="shared" si="0"/>
        <v>2017</v>
      </c>
      <c r="H3" s="76">
        <f t="shared" si="0"/>
        <v>2018</v>
      </c>
      <c r="I3" s="76">
        <f t="shared" si="0"/>
        <v>2019</v>
      </c>
      <c r="J3" s="76">
        <f t="shared" si="0"/>
        <v>2020</v>
      </c>
      <c r="K3" s="76">
        <f t="shared" si="0"/>
        <v>2021</v>
      </c>
      <c r="L3" s="76">
        <f t="shared" si="0"/>
        <v>2022</v>
      </c>
      <c r="M3" s="76">
        <f t="shared" si="0"/>
        <v>2023</v>
      </c>
      <c r="N3" s="76">
        <f t="shared" si="0"/>
        <v>2024</v>
      </c>
      <c r="O3" s="76">
        <f t="shared" si="0"/>
        <v>2025</v>
      </c>
    </row>
    <row r="4" spans="1:42">
      <c r="A4" s="77" t="s">
        <v>2</v>
      </c>
      <c r="B4" s="78">
        <v>2.9</v>
      </c>
      <c r="C4" s="78">
        <v>3</v>
      </c>
      <c r="D4" s="78">
        <v>3</v>
      </c>
      <c r="E4" s="78">
        <v>3.1</v>
      </c>
      <c r="F4" s="78">
        <v>3</v>
      </c>
      <c r="G4" s="78">
        <v>2.8</v>
      </c>
      <c r="H4" s="78">
        <v>2.7</v>
      </c>
      <c r="I4" s="78">
        <v>2.5</v>
      </c>
      <c r="J4" s="78">
        <v>2.4</v>
      </c>
      <c r="K4" s="78">
        <v>2.4</v>
      </c>
      <c r="L4" s="78">
        <v>2.2000000000000002</v>
      </c>
      <c r="M4" s="78">
        <v>2.2999999999999998</v>
      </c>
      <c r="N4" s="78">
        <v>2.2999999999999998</v>
      </c>
      <c r="O4" s="78">
        <v>2.4</v>
      </c>
    </row>
    <row r="5" spans="1:42">
      <c r="A5" s="79" t="s">
        <v>119</v>
      </c>
      <c r="B5" s="80">
        <v>3.2</v>
      </c>
      <c r="C5" s="80">
        <v>3.5</v>
      </c>
      <c r="D5" s="80">
        <v>3.7</v>
      </c>
      <c r="E5" s="80">
        <v>3.8</v>
      </c>
      <c r="F5" s="80">
        <v>3.8</v>
      </c>
      <c r="G5" s="80">
        <v>3.7</v>
      </c>
      <c r="H5" s="80">
        <v>3.7</v>
      </c>
      <c r="I5" s="80">
        <v>3.6</v>
      </c>
      <c r="J5" s="80">
        <v>3.9</v>
      </c>
      <c r="K5" s="80">
        <v>3.6</v>
      </c>
      <c r="L5" s="80">
        <v>3.1</v>
      </c>
      <c r="M5" s="80">
        <v>3</v>
      </c>
      <c r="N5" s="80">
        <v>3</v>
      </c>
      <c r="O5" s="80">
        <v>3.3</v>
      </c>
    </row>
    <row r="6" spans="1:42">
      <c r="A6" s="37" t="s">
        <v>143</v>
      </c>
      <c r="J6" s="81"/>
      <c r="K6" s="81"/>
      <c r="L6" s="65"/>
      <c r="M6" s="82"/>
      <c r="N6" s="82"/>
      <c r="O6" s="82"/>
      <c r="P6" s="82"/>
      <c r="Q6" s="81"/>
      <c r="R6" s="96"/>
      <c r="S6" s="96"/>
    </row>
    <row r="7" spans="1:42">
      <c r="A7" s="68" t="s">
        <v>190</v>
      </c>
      <c r="L7" s="29"/>
      <c r="M7" s="45"/>
      <c r="N7" s="45"/>
      <c r="O7" s="45"/>
      <c r="P7" s="45"/>
    </row>
    <row r="8" spans="1:42">
      <c r="A8" s="37" t="s">
        <v>142</v>
      </c>
      <c r="L8" s="29"/>
      <c r="M8" s="45"/>
      <c r="N8" s="45"/>
      <c r="O8" s="45"/>
      <c r="P8" s="45"/>
      <c r="AA8" s="83"/>
      <c r="AB8" s="83"/>
    </row>
    <row r="10" spans="1:42">
      <c r="V10" s="445"/>
      <c r="W10" s="445"/>
      <c r="AA10" s="72"/>
      <c r="AB10" s="72"/>
      <c r="AO10" s="73"/>
      <c r="AP10" s="73"/>
    </row>
    <row r="11" spans="1:42">
      <c r="T11" s="84"/>
      <c r="U11" s="84"/>
      <c r="AA11" s="72"/>
      <c r="AB11" s="72"/>
    </row>
    <row r="12" spans="1:42">
      <c r="P12" s="85"/>
      <c r="Q12" s="85"/>
      <c r="R12" s="85"/>
      <c r="S12" s="85"/>
      <c r="T12" s="85"/>
      <c r="U12" s="85"/>
      <c r="V12" s="85"/>
      <c r="W12" s="85"/>
      <c r="X12" s="85"/>
      <c r="Y12" s="85"/>
      <c r="Z12" s="85"/>
      <c r="AA12" s="85"/>
      <c r="AB12" s="85"/>
    </row>
    <row r="13" spans="1:42">
      <c r="P13" s="85"/>
      <c r="Q13" s="85"/>
      <c r="R13" s="85"/>
      <c r="S13" s="85"/>
      <c r="T13" s="85"/>
      <c r="U13" s="85"/>
      <c r="V13" s="85"/>
      <c r="W13" s="85"/>
      <c r="X13" s="85"/>
      <c r="Y13" s="85"/>
      <c r="Z13" s="85"/>
      <c r="AA13" s="85"/>
      <c r="AB13" s="85"/>
    </row>
    <row r="14" spans="1:42" s="73" customFormat="1">
      <c r="B14" s="86"/>
      <c r="C14" s="86"/>
      <c r="D14" s="86"/>
      <c r="E14" s="86"/>
      <c r="F14" s="86"/>
      <c r="G14" s="86"/>
      <c r="H14" s="86"/>
      <c r="I14" s="86"/>
      <c r="J14" s="86"/>
      <c r="K14" s="86"/>
      <c r="L14" s="86"/>
      <c r="M14" s="86"/>
      <c r="N14" s="86"/>
      <c r="O14" s="86"/>
      <c r="P14" s="86"/>
      <c r="Q14" s="86"/>
      <c r="R14" s="86"/>
      <c r="S14" s="86"/>
      <c r="T14" s="86"/>
      <c r="U14" s="87"/>
      <c r="X14" s="86"/>
    </row>
    <row r="15" spans="1:42">
      <c r="B15" s="85"/>
      <c r="C15" s="85"/>
      <c r="D15" s="85"/>
      <c r="E15" s="85"/>
      <c r="F15" s="85"/>
      <c r="G15" s="85"/>
      <c r="H15" s="85"/>
      <c r="I15" s="85"/>
      <c r="J15" s="85"/>
      <c r="K15" s="85"/>
      <c r="L15" s="85"/>
      <c r="M15" s="85"/>
      <c r="N15" s="85"/>
      <c r="O15" s="85"/>
      <c r="P15" s="81"/>
      <c r="Q15" s="81"/>
      <c r="R15" s="81"/>
      <c r="S15" s="81"/>
      <c r="T15" s="81"/>
      <c r="U15" s="81"/>
      <c r="V15" s="81"/>
      <c r="W15" s="81"/>
      <c r="X15" s="81"/>
      <c r="Y15" s="73"/>
      <c r="Z15" s="73"/>
      <c r="AA15" s="72"/>
      <c r="AB15" s="72"/>
    </row>
    <row r="16" spans="1:42" s="88" customFormat="1">
      <c r="B16" s="89"/>
      <c r="C16" s="89"/>
      <c r="D16" s="89"/>
      <c r="E16" s="89"/>
      <c r="F16" s="89"/>
      <c r="G16" s="89"/>
      <c r="AA16" s="89"/>
      <c r="AB16" s="89"/>
    </row>
    <row r="17" spans="2:26">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spans="2:26">
      <c r="B18" s="81"/>
      <c r="C18" s="81"/>
      <c r="D18" s="81"/>
      <c r="E18" s="81"/>
      <c r="F18" s="81"/>
      <c r="G18" s="81"/>
      <c r="H18" s="81"/>
      <c r="I18" s="81"/>
      <c r="J18" s="81"/>
      <c r="K18" s="81"/>
      <c r="L18" s="81"/>
      <c r="M18" s="81"/>
      <c r="N18" s="81"/>
      <c r="O18" s="81"/>
      <c r="V18" s="81"/>
      <c r="W18" s="81"/>
      <c r="X18" s="81"/>
      <c r="Y18" s="81"/>
      <c r="Z18" s="81"/>
    </row>
    <row r="19" spans="2:26">
      <c r="B19" s="85"/>
      <c r="C19" s="85"/>
      <c r="D19" s="85"/>
      <c r="E19" s="85"/>
      <c r="F19" s="85"/>
      <c r="G19" s="85"/>
      <c r="H19" s="85"/>
      <c r="I19" s="85"/>
      <c r="J19" s="85"/>
      <c r="K19" s="85"/>
      <c r="L19" s="85"/>
      <c r="M19" s="85"/>
      <c r="N19" s="85"/>
      <c r="O19" s="85"/>
      <c r="V19" s="81"/>
      <c r="W19" s="81"/>
      <c r="X19" s="81"/>
      <c r="Y19" s="81"/>
      <c r="Z19" s="81"/>
    </row>
    <row r="20" spans="2:26">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2:26">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2:26">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spans="2:26">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2:26">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2:26">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2:26">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spans="2:26">
      <c r="D27" s="90"/>
    </row>
    <row r="28" spans="2:26">
      <c r="B28" s="91"/>
      <c r="C28" s="91"/>
      <c r="D28" s="91"/>
    </row>
    <row r="29" spans="2:26">
      <c r="B29" s="92"/>
      <c r="C29" s="92"/>
      <c r="D29" s="92"/>
      <c r="F29" s="85"/>
      <c r="G29" s="85"/>
      <c r="H29" s="85"/>
    </row>
    <row r="30" spans="2:26">
      <c r="B30" s="92"/>
      <c r="C30" s="92"/>
      <c r="D30" s="92"/>
      <c r="E30" s="85"/>
      <c r="F30" s="85"/>
      <c r="G30" s="85"/>
      <c r="H30" s="85"/>
      <c r="J30" s="81"/>
      <c r="K30" s="96"/>
      <c r="L30" s="96"/>
      <c r="M30" s="96"/>
      <c r="N30" s="96"/>
      <c r="O30" s="96"/>
      <c r="P30" s="96"/>
    </row>
    <row r="31" spans="2:26">
      <c r="B31" s="92"/>
      <c r="C31" s="92"/>
      <c r="D31" s="92"/>
      <c r="E31" s="85"/>
      <c r="F31" s="85"/>
      <c r="G31" s="85"/>
      <c r="H31" s="85"/>
      <c r="J31" s="81"/>
      <c r="K31" s="96"/>
      <c r="L31" s="96"/>
      <c r="M31" s="96"/>
      <c r="N31" s="96"/>
      <c r="O31" s="96"/>
      <c r="P31" s="96"/>
    </row>
    <row r="32" spans="2:26">
      <c r="B32" s="92"/>
      <c r="C32" s="92"/>
      <c r="D32" s="92"/>
      <c r="E32" s="85"/>
      <c r="F32" s="85"/>
      <c r="G32" s="85"/>
      <c r="H32" s="85"/>
      <c r="J32" s="81"/>
      <c r="K32" s="81"/>
      <c r="L32" s="81"/>
      <c r="M32" s="81"/>
      <c r="N32" s="81"/>
      <c r="O32" s="81"/>
      <c r="P32" s="81"/>
    </row>
    <row r="33" spans="1:28">
      <c r="B33" s="92"/>
      <c r="C33" s="92"/>
      <c r="D33" s="92"/>
      <c r="E33" s="85"/>
      <c r="F33" s="85"/>
      <c r="G33" s="85"/>
      <c r="H33" s="85"/>
      <c r="J33" s="81"/>
      <c r="K33" s="81"/>
      <c r="L33" s="81"/>
      <c r="M33" s="81"/>
      <c r="N33" s="81"/>
      <c r="O33" s="81"/>
      <c r="P33" s="81"/>
    </row>
    <row r="34" spans="1:28">
      <c r="B34" s="92"/>
      <c r="C34" s="92"/>
      <c r="D34" s="92"/>
      <c r="E34" s="85"/>
      <c r="F34" s="85"/>
      <c r="G34" s="85"/>
      <c r="H34" s="85"/>
      <c r="J34" s="81"/>
      <c r="K34" s="81"/>
      <c r="L34" s="81"/>
      <c r="M34" s="81"/>
      <c r="N34" s="81"/>
      <c r="O34" s="81"/>
      <c r="P34" s="81"/>
    </row>
    <row r="35" spans="1:28">
      <c r="J35" s="81"/>
      <c r="K35" s="81"/>
      <c r="L35" s="81"/>
      <c r="M35" s="81"/>
      <c r="N35" s="81"/>
      <c r="O35" s="81"/>
      <c r="P35" s="81"/>
      <c r="Q35" s="81"/>
      <c r="R35" s="96"/>
      <c r="S35" s="96"/>
    </row>
    <row r="36" spans="1:28">
      <c r="A36" s="93"/>
    </row>
    <row r="37" spans="1:28">
      <c r="A37" s="94"/>
    </row>
    <row r="38" spans="1:28">
      <c r="A38" s="94"/>
    </row>
    <row r="39" spans="1:28">
      <c r="A39" s="94"/>
    </row>
    <row r="40" spans="1:28">
      <c r="A40" s="94"/>
    </row>
    <row r="41" spans="1:28">
      <c r="A41" s="94"/>
    </row>
    <row r="42" spans="1:28" s="97" customFormat="1">
      <c r="AA42" s="98"/>
      <c r="AB42" s="98"/>
    </row>
    <row r="43" spans="1:28">
      <c r="A43" s="95"/>
    </row>
    <row r="44" spans="1:28">
      <c r="A44" s="95"/>
    </row>
  </sheetData>
  <mergeCells count="1">
    <mergeCell ref="V10:W10"/>
  </mergeCells>
  <pageMargins left="0.78749999999999998" right="0.78749999999999998" top="1.0236111111111099" bottom="1.0236111111111099" header="0.78749999999999998" footer="0.78749999999999998"/>
  <pageSetup paperSize="9" orientation="landscape" horizontalDpi="300" verticalDpi="300" r:id="rId1"/>
  <headerFooter>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41"/>
  <sheetViews>
    <sheetView zoomScaleNormal="100" workbookViewId="0"/>
  </sheetViews>
  <sheetFormatPr baseColWidth="10" defaultColWidth="10.625" defaultRowHeight="12.75"/>
  <cols>
    <col min="1" max="1" width="35.625" style="72" customWidth="1"/>
    <col min="2" max="7" width="11.625" style="72" customWidth="1"/>
    <col min="8" max="8" width="11.625" style="100" customWidth="1"/>
    <col min="9" max="10" width="10.625" style="72"/>
    <col min="11" max="11" width="10.875" style="72" customWidth="1"/>
    <col min="12" max="16384" width="10.625" style="72"/>
  </cols>
  <sheetData>
    <row r="1" spans="1:20" s="100" customFormat="1">
      <c r="A1" s="99" t="s">
        <v>120</v>
      </c>
      <c r="B1" s="64"/>
      <c r="C1" s="64"/>
      <c r="D1" s="64"/>
      <c r="E1" s="64"/>
      <c r="F1" s="64"/>
      <c r="G1" s="64"/>
      <c r="H1" s="64"/>
      <c r="I1" s="64"/>
      <c r="J1" s="45"/>
      <c r="K1" s="64"/>
      <c r="L1" s="64"/>
      <c r="M1" s="64"/>
      <c r="N1" s="64"/>
      <c r="O1" s="64"/>
      <c r="P1" s="34"/>
      <c r="Q1" s="31"/>
      <c r="R1" s="31"/>
      <c r="S1" s="31"/>
    </row>
    <row r="2" spans="1:20" s="100" customFormat="1">
      <c r="A2" s="101"/>
      <c r="B2" s="45"/>
      <c r="C2" s="45"/>
      <c r="D2" s="45"/>
      <c r="E2" s="45"/>
      <c r="F2" s="45"/>
      <c r="G2" s="45"/>
      <c r="H2" s="102"/>
      <c r="I2" s="64"/>
      <c r="J2" s="45"/>
      <c r="K2" s="64"/>
      <c r="L2" s="64"/>
      <c r="M2" s="64"/>
      <c r="N2" s="64"/>
      <c r="O2" s="64"/>
      <c r="P2" s="34"/>
      <c r="Q2" s="31"/>
      <c r="R2" s="31"/>
      <c r="S2" s="31"/>
    </row>
    <row r="3" spans="1:20">
      <c r="A3" s="103" t="s">
        <v>15</v>
      </c>
      <c r="B3" s="103" t="s">
        <v>3</v>
      </c>
      <c r="C3" s="103" t="s">
        <v>4</v>
      </c>
      <c r="D3" s="103" t="s">
        <v>5</v>
      </c>
      <c r="E3" s="103" t="s">
        <v>6</v>
      </c>
      <c r="F3" s="103" t="s">
        <v>7</v>
      </c>
      <c r="G3" s="104" t="s">
        <v>8</v>
      </c>
      <c r="H3" s="104" t="s">
        <v>9</v>
      </c>
      <c r="I3" s="45"/>
      <c r="J3" s="45"/>
      <c r="K3" s="45"/>
      <c r="L3" s="45"/>
      <c r="M3" s="45"/>
      <c r="N3" s="45"/>
      <c r="O3" s="45"/>
      <c r="P3" s="34"/>
      <c r="Q3" s="31"/>
      <c r="R3" s="31"/>
      <c r="S3" s="31"/>
    </row>
    <row r="4" spans="1:20">
      <c r="A4" s="105" t="s">
        <v>10</v>
      </c>
      <c r="B4" s="106"/>
      <c r="C4" s="106"/>
      <c r="D4" s="106"/>
      <c r="E4" s="106"/>
      <c r="F4" s="106"/>
      <c r="G4" s="106"/>
      <c r="H4" s="107"/>
      <c r="I4" s="45"/>
      <c r="J4" s="45"/>
      <c r="K4" s="45"/>
      <c r="L4" s="33"/>
      <c r="M4" s="45"/>
      <c r="N4" s="45"/>
      <c r="O4" s="45"/>
      <c r="P4" s="45"/>
    </row>
    <row r="5" spans="1:20">
      <c r="A5" s="108" t="s">
        <v>11</v>
      </c>
      <c r="B5" s="109">
        <v>236</v>
      </c>
      <c r="C5" s="109">
        <v>645</v>
      </c>
      <c r="D5" s="109">
        <v>1505</v>
      </c>
      <c r="E5" s="109">
        <v>82</v>
      </c>
      <c r="F5" s="109">
        <v>405</v>
      </c>
      <c r="G5" s="109">
        <v>25491</v>
      </c>
      <c r="H5" s="110">
        <v>28364</v>
      </c>
      <c r="I5" s="45"/>
      <c r="J5" s="45"/>
      <c r="K5" s="45"/>
      <c r="L5" s="33"/>
      <c r="M5" s="45"/>
      <c r="N5" s="45"/>
      <c r="O5" s="45"/>
      <c r="P5" s="45"/>
    </row>
    <row r="6" spans="1:20">
      <c r="A6" s="108" t="s">
        <v>12</v>
      </c>
      <c r="B6" s="109">
        <v>1427</v>
      </c>
      <c r="C6" s="109">
        <v>184</v>
      </c>
      <c r="D6" s="109">
        <v>56</v>
      </c>
      <c r="E6" s="109">
        <v>74</v>
      </c>
      <c r="F6" s="109">
        <v>25</v>
      </c>
      <c r="G6" s="109">
        <v>524</v>
      </c>
      <c r="H6" s="110">
        <v>2290</v>
      </c>
      <c r="I6" s="45"/>
      <c r="J6" s="45"/>
      <c r="K6" s="45"/>
      <c r="L6" s="45"/>
      <c r="M6" s="45"/>
      <c r="N6" s="45"/>
      <c r="O6" s="45"/>
      <c r="P6" s="45"/>
    </row>
    <row r="7" spans="1:20">
      <c r="A7" s="108" t="s">
        <v>13</v>
      </c>
      <c r="B7" s="109">
        <v>727</v>
      </c>
      <c r="C7" s="109">
        <v>61</v>
      </c>
      <c r="D7" s="109">
        <v>22</v>
      </c>
      <c r="E7" s="109">
        <v>118</v>
      </c>
      <c r="F7" s="109">
        <v>17</v>
      </c>
      <c r="G7" s="109">
        <v>895</v>
      </c>
      <c r="H7" s="110">
        <v>1840</v>
      </c>
      <c r="I7" s="45"/>
      <c r="J7" s="45"/>
      <c r="K7" s="45"/>
      <c r="L7" s="45"/>
      <c r="M7" s="45"/>
      <c r="N7" s="34"/>
      <c r="O7" s="34"/>
      <c r="P7" s="34"/>
      <c r="Q7" s="31"/>
      <c r="R7" s="31"/>
      <c r="S7" s="31"/>
      <c r="T7" s="31"/>
    </row>
    <row r="8" spans="1:20">
      <c r="A8" s="108" t="s">
        <v>14</v>
      </c>
      <c r="B8" s="109">
        <v>503</v>
      </c>
      <c r="C8" s="109">
        <v>33</v>
      </c>
      <c r="D8" s="109">
        <v>15</v>
      </c>
      <c r="E8" s="109">
        <v>105</v>
      </c>
      <c r="F8" s="109">
        <v>10</v>
      </c>
      <c r="G8" s="109">
        <v>7969</v>
      </c>
      <c r="H8" s="110">
        <v>8635</v>
      </c>
      <c r="I8" s="45"/>
      <c r="J8" s="45"/>
      <c r="K8" s="45"/>
      <c r="L8" s="45"/>
      <c r="M8" s="45"/>
      <c r="N8" s="34"/>
      <c r="O8" s="34"/>
      <c r="P8" s="34"/>
      <c r="Q8" s="31"/>
      <c r="R8" s="31"/>
      <c r="S8" s="31"/>
      <c r="T8" s="31"/>
    </row>
    <row r="9" spans="1:20">
      <c r="A9" s="111" t="s">
        <v>9</v>
      </c>
      <c r="B9" s="110">
        <v>2893</v>
      </c>
      <c r="C9" s="110">
        <v>923</v>
      </c>
      <c r="D9" s="110">
        <v>1597</v>
      </c>
      <c r="E9" s="110">
        <v>378</v>
      </c>
      <c r="F9" s="110">
        <v>457</v>
      </c>
      <c r="G9" s="110">
        <v>34878</v>
      </c>
      <c r="H9" s="110">
        <v>41128</v>
      </c>
      <c r="I9" s="45"/>
      <c r="J9" s="45"/>
      <c r="K9" s="45"/>
      <c r="L9" s="45"/>
      <c r="M9" s="45"/>
      <c r="N9" s="34"/>
      <c r="O9" s="34"/>
      <c r="P9" s="34"/>
      <c r="Q9" s="31"/>
      <c r="R9" s="31"/>
      <c r="S9" s="31"/>
      <c r="T9" s="31"/>
    </row>
    <row r="10" spans="1:20" s="100" customFormat="1">
      <c r="A10" s="112" t="s">
        <v>188</v>
      </c>
      <c r="B10" s="113"/>
      <c r="C10" s="114"/>
      <c r="D10" s="114"/>
      <c r="E10" s="114"/>
      <c r="F10" s="114"/>
      <c r="G10" s="114"/>
      <c r="H10" s="115"/>
      <c r="I10" s="64"/>
      <c r="J10" s="45"/>
      <c r="K10" s="64"/>
      <c r="L10" s="64"/>
      <c r="M10" s="64"/>
      <c r="N10" s="64"/>
      <c r="O10" s="64"/>
      <c r="P10" s="34"/>
      <c r="Q10" s="31"/>
      <c r="R10" s="31"/>
      <c r="S10" s="31"/>
    </row>
    <row r="11" spans="1:20">
      <c r="A11" s="108" t="s">
        <v>11</v>
      </c>
      <c r="B11" s="109">
        <v>1</v>
      </c>
      <c r="C11" s="109">
        <v>2</v>
      </c>
      <c r="D11" s="109">
        <v>5</v>
      </c>
      <c r="E11" s="109">
        <v>0</v>
      </c>
      <c r="F11" s="109">
        <v>1</v>
      </c>
      <c r="G11" s="109">
        <v>90</v>
      </c>
      <c r="H11" s="110">
        <v>100</v>
      </c>
      <c r="I11" s="45"/>
      <c r="J11" s="45"/>
      <c r="K11" s="45"/>
      <c r="L11" s="45"/>
      <c r="M11" s="45"/>
      <c r="N11" s="45"/>
      <c r="O11" s="45"/>
      <c r="P11" s="34"/>
      <c r="Q11" s="31"/>
      <c r="R11" s="31"/>
      <c r="S11" s="31"/>
    </row>
    <row r="12" spans="1:20">
      <c r="A12" s="108" t="s">
        <v>12</v>
      </c>
      <c r="B12" s="109">
        <v>62</v>
      </c>
      <c r="C12" s="109">
        <v>8</v>
      </c>
      <c r="D12" s="109">
        <v>2</v>
      </c>
      <c r="E12" s="109">
        <v>3</v>
      </c>
      <c r="F12" s="109">
        <v>1</v>
      </c>
      <c r="G12" s="109">
        <v>23</v>
      </c>
      <c r="H12" s="110">
        <v>100</v>
      </c>
      <c r="I12" s="45"/>
      <c r="J12" s="45"/>
      <c r="K12" s="45"/>
      <c r="L12" s="45"/>
      <c r="M12" s="45"/>
      <c r="N12" s="45"/>
      <c r="O12" s="45"/>
      <c r="P12" s="34"/>
      <c r="Q12" s="31"/>
      <c r="R12" s="31"/>
      <c r="S12" s="31"/>
    </row>
    <row r="13" spans="1:20">
      <c r="A13" s="108" t="s">
        <v>13</v>
      </c>
      <c r="B13" s="109">
        <v>40</v>
      </c>
      <c r="C13" s="109">
        <v>3</v>
      </c>
      <c r="D13" s="109">
        <v>1</v>
      </c>
      <c r="E13" s="109">
        <v>6</v>
      </c>
      <c r="F13" s="109">
        <v>1</v>
      </c>
      <c r="G13" s="109">
        <v>49</v>
      </c>
      <c r="H13" s="110">
        <v>100</v>
      </c>
      <c r="I13" s="45"/>
      <c r="J13" s="45"/>
      <c r="K13" s="45"/>
      <c r="L13" s="45"/>
      <c r="M13" s="45"/>
      <c r="N13" s="45"/>
      <c r="O13" s="45"/>
      <c r="P13" s="34"/>
      <c r="Q13" s="31"/>
      <c r="R13" s="31"/>
      <c r="S13" s="31"/>
    </row>
    <row r="14" spans="1:20">
      <c r="A14" s="108" t="s">
        <v>14</v>
      </c>
      <c r="B14" s="109">
        <v>6</v>
      </c>
      <c r="C14" s="109">
        <v>0</v>
      </c>
      <c r="D14" s="109">
        <v>0</v>
      </c>
      <c r="E14" s="109">
        <v>1</v>
      </c>
      <c r="F14" s="109">
        <v>0</v>
      </c>
      <c r="G14" s="109">
        <v>92</v>
      </c>
      <c r="H14" s="110">
        <v>100</v>
      </c>
      <c r="I14" s="45"/>
      <c r="J14" s="34"/>
      <c r="K14" s="34"/>
      <c r="L14" s="34"/>
      <c r="M14" s="34"/>
      <c r="N14" s="34"/>
      <c r="O14" s="45"/>
      <c r="P14" s="34"/>
      <c r="Q14" s="31"/>
      <c r="R14" s="31"/>
      <c r="S14" s="31"/>
    </row>
    <row r="15" spans="1:20">
      <c r="A15" s="116" t="s">
        <v>9</v>
      </c>
      <c r="B15" s="117">
        <v>7</v>
      </c>
      <c r="C15" s="117">
        <v>2</v>
      </c>
      <c r="D15" s="117">
        <v>4</v>
      </c>
      <c r="E15" s="117">
        <v>1</v>
      </c>
      <c r="F15" s="117">
        <v>1</v>
      </c>
      <c r="G15" s="117">
        <v>85</v>
      </c>
      <c r="H15" s="117">
        <v>100</v>
      </c>
      <c r="I15" s="45"/>
      <c r="J15" s="34"/>
      <c r="K15" s="34"/>
      <c r="L15" s="34"/>
      <c r="M15" s="34"/>
      <c r="N15" s="34"/>
      <c r="O15" s="45"/>
      <c r="P15" s="34"/>
      <c r="Q15" s="31"/>
      <c r="R15" s="31"/>
      <c r="S15" s="31"/>
    </row>
    <row r="16" spans="1:20" s="100" customFormat="1">
      <c r="A16" s="112" t="s">
        <v>189</v>
      </c>
      <c r="B16" s="113"/>
      <c r="C16" s="113"/>
      <c r="D16" s="113"/>
      <c r="E16" s="113"/>
      <c r="F16" s="113"/>
      <c r="G16" s="113"/>
      <c r="H16" s="118"/>
      <c r="I16" s="64"/>
      <c r="J16" s="64"/>
      <c r="K16" s="64"/>
      <c r="L16" s="64"/>
      <c r="M16" s="64"/>
      <c r="N16" s="64"/>
      <c r="O16" s="64"/>
      <c r="P16" s="34"/>
      <c r="Q16" s="31"/>
      <c r="R16" s="31"/>
      <c r="S16" s="31"/>
    </row>
    <row r="17" spans="1:19">
      <c r="A17" s="108" t="s">
        <v>11</v>
      </c>
      <c r="B17" s="109">
        <v>8</v>
      </c>
      <c r="C17" s="109">
        <v>70</v>
      </c>
      <c r="D17" s="109">
        <v>94</v>
      </c>
      <c r="E17" s="109">
        <v>22</v>
      </c>
      <c r="F17" s="109">
        <v>89</v>
      </c>
      <c r="G17" s="109">
        <v>73</v>
      </c>
      <c r="H17" s="110">
        <v>69</v>
      </c>
      <c r="I17" s="45"/>
      <c r="J17" s="45"/>
      <c r="K17" s="45"/>
      <c r="L17" s="45"/>
      <c r="M17" s="45"/>
      <c r="N17" s="45"/>
      <c r="O17" s="45"/>
      <c r="P17" s="34"/>
      <c r="Q17" s="31"/>
      <c r="R17" s="31"/>
      <c r="S17" s="31"/>
    </row>
    <row r="18" spans="1:19">
      <c r="A18" s="108" t="s">
        <v>12</v>
      </c>
      <c r="B18" s="109">
        <v>49</v>
      </c>
      <c r="C18" s="109">
        <v>20</v>
      </c>
      <c r="D18" s="109">
        <v>4</v>
      </c>
      <c r="E18" s="109">
        <v>20</v>
      </c>
      <c r="F18" s="109">
        <v>6</v>
      </c>
      <c r="G18" s="109">
        <v>2</v>
      </c>
      <c r="H18" s="110">
        <v>6</v>
      </c>
      <c r="I18" s="45"/>
      <c r="J18" s="45"/>
      <c r="K18" s="45"/>
      <c r="L18" s="45"/>
      <c r="M18" s="45"/>
      <c r="N18" s="45"/>
      <c r="O18" s="45"/>
      <c r="P18" s="34"/>
      <c r="Q18" s="31"/>
      <c r="R18" s="31"/>
      <c r="S18" s="31"/>
    </row>
    <row r="19" spans="1:19">
      <c r="A19" s="108" t="s">
        <v>13</v>
      </c>
      <c r="B19" s="109">
        <v>25</v>
      </c>
      <c r="C19" s="109">
        <v>7</v>
      </c>
      <c r="D19" s="109">
        <v>1</v>
      </c>
      <c r="E19" s="109">
        <v>31</v>
      </c>
      <c r="F19" s="109">
        <v>4</v>
      </c>
      <c r="G19" s="109">
        <v>3</v>
      </c>
      <c r="H19" s="110">
        <v>5</v>
      </c>
      <c r="I19" s="45"/>
      <c r="J19" s="45"/>
      <c r="K19" s="45"/>
      <c r="L19" s="45"/>
      <c r="M19" s="45"/>
      <c r="N19" s="45"/>
      <c r="O19" s="45"/>
      <c r="P19" s="34"/>
      <c r="Q19" s="31"/>
      <c r="R19" s="31"/>
      <c r="S19" s="31"/>
    </row>
    <row r="20" spans="1:19">
      <c r="A20" s="119" t="s">
        <v>14</v>
      </c>
      <c r="B20" s="120">
        <v>17</v>
      </c>
      <c r="C20" s="120">
        <v>4</v>
      </c>
      <c r="D20" s="120">
        <v>1</v>
      </c>
      <c r="E20" s="120">
        <v>28</v>
      </c>
      <c r="F20" s="120">
        <v>2</v>
      </c>
      <c r="G20" s="120">
        <v>23</v>
      </c>
      <c r="H20" s="121">
        <v>21</v>
      </c>
    </row>
    <row r="21" spans="1:19">
      <c r="A21" s="122" t="s">
        <v>9</v>
      </c>
      <c r="B21" s="123">
        <v>100</v>
      </c>
      <c r="C21" s="123">
        <v>100</v>
      </c>
      <c r="D21" s="123">
        <v>100</v>
      </c>
      <c r="E21" s="123">
        <v>100</v>
      </c>
      <c r="F21" s="123">
        <v>100</v>
      </c>
      <c r="G21" s="123">
        <v>100</v>
      </c>
      <c r="H21" s="123">
        <v>100</v>
      </c>
    </row>
    <row r="22" spans="1:19" s="100" customFormat="1" ht="30" customHeight="1">
      <c r="A22" s="446" t="s">
        <v>147</v>
      </c>
      <c r="B22" s="446"/>
      <c r="C22" s="446"/>
      <c r="D22" s="446"/>
      <c r="E22" s="446"/>
      <c r="F22" s="446"/>
      <c r="G22" s="446"/>
      <c r="H22" s="446"/>
      <c r="J22" s="66"/>
      <c r="K22" s="64"/>
      <c r="L22" s="64"/>
      <c r="M22" s="64"/>
    </row>
    <row r="23" spans="1:19">
      <c r="A23" s="124" t="s">
        <v>187</v>
      </c>
    </row>
    <row r="24" spans="1:19">
      <c r="A24" s="125" t="s">
        <v>16</v>
      </c>
      <c r="B24" s="126"/>
      <c r="C24" s="126"/>
      <c r="D24" s="126"/>
      <c r="E24" s="126"/>
      <c r="F24" s="126"/>
      <c r="G24" s="126"/>
      <c r="H24" s="127"/>
    </row>
    <row r="27" spans="1:19">
      <c r="B27" s="81"/>
      <c r="C27" s="81"/>
      <c r="D27" s="81"/>
      <c r="E27" s="81"/>
      <c r="F27" s="81"/>
      <c r="G27" s="81"/>
      <c r="H27" s="128"/>
    </row>
    <row r="28" spans="1:19">
      <c r="B28" s="81"/>
      <c r="C28" s="81"/>
      <c r="D28" s="81"/>
      <c r="E28" s="81"/>
      <c r="F28" s="81"/>
      <c r="G28" s="81"/>
      <c r="H28" s="81"/>
    </row>
    <row r="29" spans="1:19">
      <c r="B29" s="81"/>
      <c r="C29" s="81"/>
      <c r="D29" s="81"/>
      <c r="E29" s="81"/>
      <c r="F29" s="81"/>
      <c r="G29" s="81"/>
      <c r="H29" s="81"/>
    </row>
    <row r="30" spans="1:19">
      <c r="B30" s="81"/>
      <c r="C30" s="81"/>
      <c r="D30" s="81"/>
      <c r="E30" s="81"/>
      <c r="F30" s="81"/>
      <c r="G30" s="81"/>
      <c r="H30" s="81"/>
    </row>
    <row r="31" spans="1:19">
      <c r="B31" s="81"/>
      <c r="C31" s="81"/>
      <c r="D31" s="81"/>
      <c r="E31" s="81"/>
      <c r="F31" s="81"/>
      <c r="G31" s="81"/>
      <c r="H31" s="81"/>
    </row>
    <row r="32" spans="1:19">
      <c r="B32" s="81"/>
      <c r="C32" s="81"/>
      <c r="D32" s="81"/>
      <c r="E32" s="81"/>
      <c r="F32" s="81"/>
      <c r="G32" s="81"/>
      <c r="H32" s="81"/>
    </row>
    <row r="33" spans="2:8">
      <c r="B33" s="81"/>
      <c r="C33" s="81"/>
      <c r="D33" s="81"/>
      <c r="E33" s="81"/>
      <c r="F33" s="81"/>
      <c r="G33" s="81"/>
      <c r="H33" s="81"/>
    </row>
    <row r="34" spans="2:8">
      <c r="B34" s="81"/>
      <c r="C34" s="81"/>
      <c r="D34" s="81"/>
      <c r="E34" s="81"/>
      <c r="F34" s="81"/>
      <c r="G34" s="81"/>
      <c r="H34" s="81"/>
    </row>
    <row r="35" spans="2:8">
      <c r="B35" s="81"/>
      <c r="C35" s="81"/>
      <c r="D35" s="81"/>
      <c r="E35" s="81"/>
      <c r="F35" s="81"/>
      <c r="G35" s="81"/>
      <c r="H35" s="81"/>
    </row>
    <row r="36" spans="2:8">
      <c r="B36" s="81"/>
      <c r="C36" s="81"/>
      <c r="D36" s="81"/>
      <c r="E36" s="81"/>
      <c r="F36" s="81"/>
      <c r="G36" s="81"/>
      <c r="H36" s="81"/>
    </row>
    <row r="37" spans="2:8">
      <c r="B37" s="81"/>
      <c r="C37" s="81"/>
      <c r="D37" s="81"/>
      <c r="E37" s="81"/>
      <c r="F37" s="81"/>
      <c r="G37" s="81"/>
      <c r="H37" s="81"/>
    </row>
    <row r="38" spans="2:8">
      <c r="B38" s="81"/>
      <c r="C38" s="81"/>
      <c r="D38" s="81"/>
      <c r="E38" s="81"/>
      <c r="F38" s="81"/>
      <c r="G38" s="81"/>
      <c r="H38" s="81"/>
    </row>
    <row r="39" spans="2:8">
      <c r="B39" s="81"/>
      <c r="C39" s="81"/>
      <c r="D39" s="81"/>
      <c r="E39" s="81"/>
      <c r="F39" s="81"/>
      <c r="G39" s="81"/>
      <c r="H39" s="81"/>
    </row>
    <row r="40" spans="2:8">
      <c r="B40" s="81"/>
      <c r="C40" s="81"/>
      <c r="D40" s="81"/>
      <c r="E40" s="81"/>
      <c r="F40" s="81"/>
      <c r="G40" s="81"/>
      <c r="H40" s="81"/>
    </row>
    <row r="41" spans="2:8">
      <c r="B41" s="81"/>
      <c r="C41" s="81"/>
      <c r="D41" s="81"/>
      <c r="E41" s="81"/>
      <c r="F41" s="81"/>
      <c r="G41" s="81"/>
      <c r="H41" s="81"/>
    </row>
  </sheetData>
  <mergeCells count="1">
    <mergeCell ref="A22:H22"/>
  </mergeCells>
  <pageMargins left="0.25" right="0.25"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0"/>
  <sheetViews>
    <sheetView zoomScaleNormal="100" workbookViewId="0"/>
  </sheetViews>
  <sheetFormatPr baseColWidth="10" defaultColWidth="10.625" defaultRowHeight="12.75"/>
  <cols>
    <col min="1" max="1" width="38.625" style="201" customWidth="1"/>
    <col min="2" max="8" width="12.625" style="201" customWidth="1"/>
    <col min="9" max="9" width="11.375" style="201" customWidth="1"/>
    <col min="10" max="16384" width="10.625" style="201"/>
  </cols>
  <sheetData>
    <row r="1" spans="1:18">
      <c r="A1" s="35" t="s">
        <v>121</v>
      </c>
    </row>
    <row r="2" spans="1:18">
      <c r="A2" s="5"/>
      <c r="B2" s="202"/>
      <c r="C2" s="202"/>
      <c r="D2" s="202"/>
      <c r="E2" s="202"/>
      <c r="F2" s="202"/>
      <c r="G2" s="202"/>
      <c r="H2" s="203" t="s">
        <v>17</v>
      </c>
      <c r="I2" s="202"/>
      <c r="J2" s="204"/>
      <c r="K2" s="204"/>
      <c r="L2" s="204"/>
      <c r="M2" s="204"/>
      <c r="N2" s="204"/>
      <c r="O2" s="204"/>
      <c r="P2" s="204"/>
    </row>
    <row r="3" spans="1:18" s="2" customFormat="1">
      <c r="A3" s="449" t="s">
        <v>18</v>
      </c>
      <c r="B3" s="450" t="s">
        <v>19</v>
      </c>
      <c r="C3" s="450"/>
      <c r="D3" s="450"/>
      <c r="E3" s="453" t="s">
        <v>20</v>
      </c>
      <c r="F3" s="455" t="s">
        <v>169</v>
      </c>
      <c r="G3" s="457" t="s">
        <v>171</v>
      </c>
      <c r="H3" s="459" t="s">
        <v>11</v>
      </c>
      <c r="I3" s="205"/>
      <c r="J3" s="206"/>
      <c r="K3" s="207"/>
      <c r="L3" s="207"/>
      <c r="M3" s="207"/>
      <c r="N3" s="207"/>
      <c r="O3" s="207"/>
      <c r="P3" s="207"/>
      <c r="Q3" s="207"/>
    </row>
    <row r="4" spans="1:18" s="2" customFormat="1" ht="30" customHeight="1">
      <c r="A4" s="449"/>
      <c r="B4" s="208" t="s">
        <v>169</v>
      </c>
      <c r="C4" s="209" t="s">
        <v>171</v>
      </c>
      <c r="D4" s="210" t="s">
        <v>11</v>
      </c>
      <c r="E4" s="454"/>
      <c r="F4" s="456"/>
      <c r="G4" s="458"/>
      <c r="H4" s="460"/>
      <c r="I4" s="205"/>
      <c r="J4" s="211"/>
      <c r="K4" s="212"/>
      <c r="L4" s="212"/>
      <c r="M4" s="212"/>
      <c r="N4" s="213"/>
      <c r="O4" s="214"/>
      <c r="P4" s="214"/>
      <c r="Q4" s="214"/>
      <c r="R4" s="214"/>
    </row>
    <row r="5" spans="1:18">
      <c r="A5" s="7" t="s">
        <v>21</v>
      </c>
      <c r="B5" s="129">
        <v>727</v>
      </c>
      <c r="C5" s="130">
        <v>503</v>
      </c>
      <c r="D5" s="131">
        <v>236</v>
      </c>
      <c r="E5" s="130">
        <v>2893</v>
      </c>
      <c r="F5" s="129">
        <v>1840</v>
      </c>
      <c r="G5" s="130">
        <v>8635</v>
      </c>
      <c r="H5" s="131">
        <v>28364</v>
      </c>
      <c r="I5" s="202"/>
      <c r="K5" s="204"/>
      <c r="L5" s="204"/>
    </row>
    <row r="6" spans="1:18">
      <c r="A6" s="58" t="s">
        <v>22</v>
      </c>
      <c r="B6" s="132">
        <v>25</v>
      </c>
      <c r="C6" s="133">
        <v>17</v>
      </c>
      <c r="D6" s="134">
        <v>8</v>
      </c>
      <c r="E6" s="135">
        <v>100</v>
      </c>
      <c r="F6" s="136" t="s">
        <v>23</v>
      </c>
      <c r="G6" s="137" t="s">
        <v>23</v>
      </c>
      <c r="H6" s="138" t="s">
        <v>23</v>
      </c>
      <c r="I6" s="212"/>
      <c r="J6" s="211"/>
      <c r="K6" s="212"/>
      <c r="L6" s="212"/>
      <c r="M6" s="212"/>
      <c r="N6" s="212"/>
      <c r="O6" s="212"/>
      <c r="P6" s="212"/>
      <c r="Q6" s="212"/>
    </row>
    <row r="7" spans="1:18">
      <c r="A7" s="59" t="s">
        <v>122</v>
      </c>
      <c r="B7" s="139">
        <v>40</v>
      </c>
      <c r="C7" s="140">
        <v>6</v>
      </c>
      <c r="D7" s="141">
        <v>1</v>
      </c>
      <c r="E7" s="142" t="s">
        <v>23</v>
      </c>
      <c r="F7" s="143">
        <v>100</v>
      </c>
      <c r="G7" s="144">
        <v>100</v>
      </c>
      <c r="H7" s="145">
        <v>100</v>
      </c>
      <c r="I7" s="212"/>
      <c r="J7" s="211"/>
      <c r="K7" s="211"/>
      <c r="L7" s="211"/>
      <c r="M7" s="212"/>
      <c r="N7" s="212"/>
      <c r="O7" s="212"/>
      <c r="P7" s="212"/>
      <c r="Q7" s="212"/>
    </row>
    <row r="8" spans="1:18">
      <c r="A8" s="60" t="s">
        <v>24</v>
      </c>
      <c r="B8" s="132">
        <v>59</v>
      </c>
      <c r="C8" s="133">
        <v>62</v>
      </c>
      <c r="D8" s="134">
        <v>46</v>
      </c>
      <c r="E8" s="135">
        <v>53</v>
      </c>
      <c r="F8" s="146">
        <v>57</v>
      </c>
      <c r="G8" s="135">
        <v>57</v>
      </c>
      <c r="H8" s="147">
        <v>49</v>
      </c>
      <c r="I8" s="212"/>
      <c r="J8" s="211"/>
      <c r="K8" s="211"/>
      <c r="L8" s="211"/>
      <c r="M8" s="212"/>
      <c r="N8" s="212"/>
      <c r="O8" s="212"/>
      <c r="P8" s="212"/>
      <c r="Q8" s="212"/>
    </row>
    <row r="9" spans="1:18">
      <c r="A9" s="9" t="s">
        <v>25</v>
      </c>
      <c r="B9" s="148">
        <v>41</v>
      </c>
      <c r="C9" s="149">
        <v>38</v>
      </c>
      <c r="D9" s="150">
        <v>54</v>
      </c>
      <c r="E9" s="151">
        <v>47</v>
      </c>
      <c r="F9" s="152">
        <v>43</v>
      </c>
      <c r="G9" s="151">
        <v>43</v>
      </c>
      <c r="H9" s="153">
        <v>51</v>
      </c>
    </row>
    <row r="10" spans="1:18">
      <c r="A10" s="38" t="s">
        <v>148</v>
      </c>
      <c r="B10" s="154">
        <v>12</v>
      </c>
      <c r="C10" s="155">
        <v>12</v>
      </c>
      <c r="D10" s="156">
        <v>14</v>
      </c>
      <c r="E10" s="157">
        <v>15</v>
      </c>
      <c r="F10" s="158">
        <v>31</v>
      </c>
      <c r="G10" s="157">
        <v>46</v>
      </c>
      <c r="H10" s="159">
        <v>10</v>
      </c>
      <c r="I10" s="215"/>
      <c r="J10" s="212"/>
      <c r="K10" s="212"/>
      <c r="L10" s="212"/>
      <c r="M10" s="212"/>
      <c r="N10" s="212"/>
      <c r="O10" s="212"/>
    </row>
    <row r="11" spans="1:18">
      <c r="A11" s="42" t="s">
        <v>124</v>
      </c>
      <c r="B11" s="160">
        <v>1</v>
      </c>
      <c r="C11" s="161">
        <v>4</v>
      </c>
      <c r="D11" s="162">
        <v>2</v>
      </c>
      <c r="E11" s="163">
        <v>1</v>
      </c>
      <c r="F11" s="164">
        <v>19</v>
      </c>
      <c r="G11" s="163">
        <v>41</v>
      </c>
      <c r="H11" s="165">
        <v>4</v>
      </c>
      <c r="I11" s="215"/>
      <c r="J11" s="212"/>
      <c r="K11" s="212"/>
      <c r="L11" s="212"/>
      <c r="M11" s="212"/>
      <c r="N11" s="212"/>
      <c r="O11" s="216"/>
    </row>
    <row r="12" spans="1:18">
      <c r="A12" s="8" t="s">
        <v>26</v>
      </c>
      <c r="B12" s="166">
        <v>61</v>
      </c>
      <c r="C12" s="167">
        <v>46</v>
      </c>
      <c r="D12" s="168">
        <v>61</v>
      </c>
      <c r="E12" s="169">
        <v>57</v>
      </c>
      <c r="F12" s="170">
        <v>48</v>
      </c>
      <c r="G12" s="169">
        <v>16</v>
      </c>
      <c r="H12" s="171">
        <v>59</v>
      </c>
    </row>
    <row r="13" spans="1:18" s="217" customFormat="1">
      <c r="A13" s="9" t="s">
        <v>27</v>
      </c>
      <c r="B13" s="148">
        <v>27</v>
      </c>
      <c r="C13" s="149">
        <v>42</v>
      </c>
      <c r="D13" s="150">
        <v>24</v>
      </c>
      <c r="E13" s="151">
        <v>29</v>
      </c>
      <c r="F13" s="152">
        <v>20</v>
      </c>
      <c r="G13" s="151">
        <v>38</v>
      </c>
      <c r="H13" s="153">
        <v>32</v>
      </c>
      <c r="L13" s="201"/>
    </row>
    <row r="14" spans="1:18">
      <c r="A14" s="67" t="s">
        <v>28</v>
      </c>
      <c r="B14" s="172">
        <v>74</v>
      </c>
      <c r="C14" s="173">
        <v>40</v>
      </c>
      <c r="D14" s="174">
        <v>15</v>
      </c>
      <c r="E14" s="175">
        <v>72</v>
      </c>
      <c r="F14" s="129">
        <v>44</v>
      </c>
      <c r="G14" s="130">
        <v>4</v>
      </c>
      <c r="H14" s="131">
        <v>1</v>
      </c>
      <c r="J14" s="218"/>
      <c r="K14" s="219"/>
      <c r="L14" s="219"/>
      <c r="M14" s="219"/>
      <c r="N14" s="219"/>
      <c r="O14" s="220"/>
      <c r="P14" s="221"/>
    </row>
    <row r="15" spans="1:18" s="222" customFormat="1">
      <c r="A15" s="10" t="s">
        <v>29</v>
      </c>
      <c r="B15" s="166">
        <v>0</v>
      </c>
      <c r="C15" s="167">
        <v>1</v>
      </c>
      <c r="D15" s="168">
        <v>74</v>
      </c>
      <c r="E15" s="176">
        <v>7</v>
      </c>
      <c r="F15" s="170">
        <v>2</v>
      </c>
      <c r="G15" s="169">
        <v>1</v>
      </c>
      <c r="H15" s="171">
        <v>94</v>
      </c>
      <c r="J15" s="223"/>
      <c r="K15" s="223"/>
      <c r="L15" s="223"/>
      <c r="M15" s="223"/>
      <c r="N15" s="223"/>
      <c r="O15" s="223"/>
      <c r="P15" s="223"/>
    </row>
    <row r="16" spans="1:18">
      <c r="A16" s="10" t="s">
        <v>30</v>
      </c>
      <c r="B16" s="166">
        <v>26</v>
      </c>
      <c r="C16" s="167">
        <v>60</v>
      </c>
      <c r="D16" s="168">
        <v>11</v>
      </c>
      <c r="E16" s="176">
        <v>21</v>
      </c>
      <c r="F16" s="170">
        <v>54</v>
      </c>
      <c r="G16" s="169">
        <v>96</v>
      </c>
      <c r="H16" s="171">
        <v>5</v>
      </c>
      <c r="J16" s="212"/>
      <c r="K16" s="212"/>
      <c r="L16" s="212"/>
      <c r="M16" s="212"/>
      <c r="N16" s="212"/>
      <c r="O16" s="212"/>
      <c r="P16" s="212"/>
    </row>
    <row r="17" spans="1:20">
      <c r="A17" s="10" t="s">
        <v>31</v>
      </c>
      <c r="B17" s="166">
        <v>96</v>
      </c>
      <c r="C17" s="167">
        <v>80</v>
      </c>
      <c r="D17" s="168">
        <v>58</v>
      </c>
      <c r="E17" s="176">
        <v>92</v>
      </c>
      <c r="F17" s="170">
        <v>49</v>
      </c>
      <c r="G17" s="169">
        <v>7</v>
      </c>
      <c r="H17" s="171">
        <v>9</v>
      </c>
      <c r="J17" s="212"/>
      <c r="K17" s="212"/>
      <c r="L17" s="212"/>
      <c r="M17" s="212"/>
      <c r="N17" s="212"/>
      <c r="O17" s="212"/>
      <c r="P17" s="212"/>
    </row>
    <row r="18" spans="1:20">
      <c r="A18" s="11" t="s">
        <v>150</v>
      </c>
      <c r="B18" s="148">
        <v>52</v>
      </c>
      <c r="C18" s="149">
        <v>42</v>
      </c>
      <c r="D18" s="150">
        <v>22</v>
      </c>
      <c r="E18" s="177">
        <v>53</v>
      </c>
      <c r="F18" s="152">
        <v>27</v>
      </c>
      <c r="G18" s="151">
        <v>3</v>
      </c>
      <c r="H18" s="153">
        <v>3</v>
      </c>
      <c r="J18" s="212"/>
      <c r="K18" s="212"/>
      <c r="L18" s="212"/>
      <c r="M18" s="212"/>
      <c r="N18" s="212"/>
      <c r="O18" s="212"/>
      <c r="P18" s="212"/>
    </row>
    <row r="19" spans="1:20" ht="30" customHeight="1">
      <c r="A19" s="9" t="s">
        <v>151</v>
      </c>
      <c r="B19" s="148">
        <v>18</v>
      </c>
      <c r="C19" s="149">
        <v>23</v>
      </c>
      <c r="D19" s="150">
        <v>18</v>
      </c>
      <c r="E19" s="178">
        <v>19</v>
      </c>
      <c r="F19" s="179" t="s">
        <v>23</v>
      </c>
      <c r="G19" s="180" t="s">
        <v>23</v>
      </c>
      <c r="H19" s="181" t="s">
        <v>23</v>
      </c>
      <c r="J19" s="212"/>
      <c r="K19" s="212"/>
      <c r="L19" s="212"/>
      <c r="M19" s="212"/>
      <c r="N19" s="212"/>
      <c r="O19" s="212"/>
      <c r="P19" s="212"/>
    </row>
    <row r="20" spans="1:20">
      <c r="A20" s="41" t="s">
        <v>170</v>
      </c>
      <c r="B20" s="182">
        <v>92</v>
      </c>
      <c r="C20" s="183">
        <v>89</v>
      </c>
      <c r="D20" s="184">
        <v>100</v>
      </c>
      <c r="E20" s="185">
        <v>93</v>
      </c>
      <c r="F20" s="186">
        <v>78</v>
      </c>
      <c r="G20" s="185">
        <v>56</v>
      </c>
      <c r="H20" s="187">
        <v>100</v>
      </c>
      <c r="J20" s="212"/>
      <c r="K20" s="224"/>
      <c r="L20" s="212"/>
      <c r="M20" s="212"/>
      <c r="N20" s="212"/>
      <c r="O20" s="212"/>
      <c r="P20" s="212"/>
    </row>
    <row r="21" spans="1:20">
      <c r="A21" s="40" t="s">
        <v>32</v>
      </c>
      <c r="B21" s="188">
        <v>41</v>
      </c>
      <c r="C21" s="189">
        <v>46</v>
      </c>
      <c r="D21" s="190">
        <v>37</v>
      </c>
      <c r="E21" s="191">
        <v>41</v>
      </c>
      <c r="F21" s="192">
        <v>32</v>
      </c>
      <c r="G21" s="191">
        <v>33</v>
      </c>
      <c r="H21" s="193">
        <v>74</v>
      </c>
      <c r="J21" s="211"/>
      <c r="K21" s="212"/>
      <c r="L21" s="212"/>
      <c r="M21" s="212"/>
      <c r="N21" s="212"/>
      <c r="O21" s="212"/>
      <c r="P21" s="212"/>
      <c r="Q21" s="218"/>
      <c r="R21" s="212"/>
      <c r="S21" s="212"/>
      <c r="T21" s="212"/>
    </row>
    <row r="22" spans="1:20" s="217" customFormat="1">
      <c r="A22" s="40" t="s">
        <v>33</v>
      </c>
      <c r="B22" s="188">
        <v>44</v>
      </c>
      <c r="C22" s="189">
        <v>38</v>
      </c>
      <c r="D22" s="190">
        <v>35</v>
      </c>
      <c r="E22" s="191">
        <v>44</v>
      </c>
      <c r="F22" s="192">
        <v>37</v>
      </c>
      <c r="G22" s="191">
        <v>17</v>
      </c>
      <c r="H22" s="193">
        <v>10</v>
      </c>
      <c r="J22" s="221"/>
      <c r="K22" s="221"/>
      <c r="L22" s="212"/>
      <c r="M22" s="221"/>
      <c r="N22" s="221"/>
      <c r="O22" s="221"/>
      <c r="P22" s="221"/>
      <c r="Q22" s="221"/>
      <c r="R22" s="221"/>
      <c r="S22" s="221"/>
      <c r="T22" s="221"/>
    </row>
    <row r="23" spans="1:20" s="217" customFormat="1">
      <c r="A23" s="40" t="s">
        <v>34</v>
      </c>
      <c r="B23" s="188">
        <v>3</v>
      </c>
      <c r="C23" s="189">
        <v>2</v>
      </c>
      <c r="D23" s="190">
        <v>5</v>
      </c>
      <c r="E23" s="191">
        <v>4</v>
      </c>
      <c r="F23" s="192">
        <v>3</v>
      </c>
      <c r="G23" s="191">
        <v>1</v>
      </c>
      <c r="H23" s="193">
        <v>3</v>
      </c>
      <c r="J23" s="212"/>
      <c r="K23" s="212"/>
      <c r="L23" s="212"/>
      <c r="M23" s="212"/>
      <c r="N23" s="212"/>
      <c r="O23" s="212"/>
      <c r="P23" s="212"/>
      <c r="Q23" s="212"/>
      <c r="R23" s="212"/>
      <c r="S23" s="212"/>
      <c r="T23" s="216"/>
    </row>
    <row r="24" spans="1:20" s="217" customFormat="1">
      <c r="A24" s="40" t="s">
        <v>35</v>
      </c>
      <c r="B24" s="188">
        <v>3</v>
      </c>
      <c r="C24" s="189">
        <v>2</v>
      </c>
      <c r="D24" s="190">
        <v>24</v>
      </c>
      <c r="E24" s="191">
        <v>5</v>
      </c>
      <c r="F24" s="192">
        <v>5</v>
      </c>
      <c r="G24" s="191">
        <v>4</v>
      </c>
      <c r="H24" s="193">
        <v>13</v>
      </c>
      <c r="J24" s="221"/>
      <c r="K24" s="221"/>
      <c r="L24" s="212"/>
      <c r="M24" s="221"/>
      <c r="N24" s="221"/>
      <c r="O24" s="221"/>
      <c r="P24" s="221"/>
    </row>
    <row r="25" spans="1:20" s="217" customFormat="1">
      <c r="A25" s="62" t="s">
        <v>36</v>
      </c>
      <c r="B25" s="194" t="s">
        <v>23</v>
      </c>
      <c r="C25" s="195" t="s">
        <v>23</v>
      </c>
      <c r="D25" s="196">
        <v>14</v>
      </c>
      <c r="E25" s="197" t="s">
        <v>23</v>
      </c>
      <c r="F25" s="198" t="s">
        <v>23</v>
      </c>
      <c r="G25" s="197" t="s">
        <v>23</v>
      </c>
      <c r="H25" s="199">
        <v>4</v>
      </c>
      <c r="J25" s="218"/>
      <c r="K25" s="219"/>
      <c r="L25" s="219"/>
      <c r="M25" s="219"/>
      <c r="N25" s="219"/>
      <c r="O25" s="220"/>
      <c r="P25" s="221"/>
    </row>
    <row r="26" spans="1:20" s="217" customFormat="1">
      <c r="A26" s="68" t="s">
        <v>138</v>
      </c>
      <c r="B26" s="225"/>
      <c r="D26" s="226"/>
      <c r="E26" s="225"/>
      <c r="F26" s="225"/>
      <c r="G26" s="225"/>
      <c r="H26" s="225"/>
      <c r="L26" s="201"/>
    </row>
    <row r="27" spans="1:20" s="217" customFormat="1" ht="30" customHeight="1">
      <c r="A27" s="451" t="s">
        <v>37</v>
      </c>
      <c r="B27" s="451"/>
      <c r="C27" s="451"/>
      <c r="D27" s="451"/>
      <c r="E27" s="451"/>
      <c r="F27" s="451"/>
      <c r="G27" s="451"/>
      <c r="H27" s="451"/>
      <c r="J27" s="212"/>
      <c r="K27" s="212"/>
      <c r="L27" s="212"/>
      <c r="M27" s="212"/>
      <c r="N27" s="212"/>
      <c r="O27" s="212"/>
      <c r="P27" s="212"/>
      <c r="Q27" s="216"/>
    </row>
    <row r="28" spans="1:20" s="225" customFormat="1" ht="30" customHeight="1">
      <c r="A28" s="452" t="s">
        <v>38</v>
      </c>
      <c r="B28" s="452"/>
      <c r="C28" s="452"/>
      <c r="D28" s="452"/>
      <c r="E28" s="452"/>
      <c r="F28" s="452"/>
      <c r="G28" s="452"/>
      <c r="H28" s="452"/>
      <c r="L28" s="201"/>
    </row>
    <row r="29" spans="1:20" ht="30" customHeight="1">
      <c r="A29" s="447" t="s">
        <v>149</v>
      </c>
      <c r="B29" s="447"/>
      <c r="C29" s="447"/>
      <c r="D29" s="447"/>
      <c r="E29" s="447"/>
      <c r="F29" s="447"/>
      <c r="G29" s="447"/>
      <c r="H29" s="447"/>
    </row>
    <row r="30" spans="1:20" ht="30" customHeight="1">
      <c r="A30" s="448" t="s">
        <v>198</v>
      </c>
      <c r="B30" s="448"/>
      <c r="C30" s="448"/>
      <c r="D30" s="448"/>
      <c r="E30" s="448"/>
      <c r="F30" s="448"/>
      <c r="G30" s="448"/>
      <c r="H30" s="448"/>
    </row>
    <row r="31" spans="1:20" s="228" customFormat="1" ht="14.25">
      <c r="A31" s="12" t="s">
        <v>16</v>
      </c>
      <c r="B31" s="5"/>
      <c r="C31" s="5"/>
      <c r="D31" s="5"/>
      <c r="E31" s="5"/>
      <c r="F31" s="5"/>
      <c r="G31" s="5"/>
      <c r="H31" s="5"/>
      <c r="I31" s="227"/>
    </row>
    <row r="32" spans="1:20" s="217" customFormat="1">
      <c r="A32" s="201"/>
      <c r="B32" s="204"/>
      <c r="C32" s="201"/>
      <c r="D32" s="201"/>
      <c r="E32" s="201"/>
      <c r="F32" s="201"/>
      <c r="G32" s="201"/>
      <c r="H32" s="201"/>
    </row>
    <row r="33" spans="1:8" s="217" customFormat="1">
      <c r="A33" s="201"/>
      <c r="B33" s="204"/>
      <c r="C33" s="204"/>
      <c r="D33" s="204"/>
      <c r="E33" s="204"/>
      <c r="F33" s="204"/>
      <c r="G33" s="204"/>
      <c r="H33" s="204"/>
    </row>
    <row r="34" spans="1:8">
      <c r="B34" s="204"/>
      <c r="C34" s="204"/>
      <c r="D34" s="204"/>
      <c r="E34" s="204"/>
      <c r="F34" s="204"/>
      <c r="G34" s="204"/>
      <c r="H34" s="204"/>
    </row>
    <row r="35" spans="1:8">
      <c r="B35" s="204"/>
      <c r="C35" s="204"/>
      <c r="D35" s="204"/>
      <c r="E35" s="204"/>
      <c r="F35" s="204"/>
      <c r="G35" s="204"/>
      <c r="H35" s="204"/>
    </row>
    <row r="36" spans="1:8">
      <c r="B36" s="204"/>
      <c r="C36" s="204"/>
      <c r="D36" s="204"/>
      <c r="E36" s="204"/>
      <c r="F36" s="204"/>
      <c r="G36" s="204"/>
      <c r="H36" s="204"/>
    </row>
    <row r="37" spans="1:8">
      <c r="B37" s="204"/>
      <c r="C37" s="204"/>
      <c r="D37" s="204"/>
      <c r="E37" s="204"/>
      <c r="F37" s="204"/>
      <c r="G37" s="204"/>
      <c r="H37" s="204"/>
    </row>
    <row r="38" spans="1:8">
      <c r="B38" s="204"/>
      <c r="C38" s="204"/>
      <c r="D38" s="204"/>
      <c r="E38" s="204"/>
      <c r="F38" s="204"/>
      <c r="G38" s="204"/>
      <c r="H38" s="204"/>
    </row>
    <row r="39" spans="1:8">
      <c r="B39" s="204"/>
      <c r="C39" s="204"/>
      <c r="D39" s="204"/>
      <c r="E39" s="204"/>
      <c r="F39" s="204"/>
      <c r="G39" s="204"/>
      <c r="H39" s="204"/>
    </row>
    <row r="40" spans="1:8">
      <c r="B40" s="204"/>
      <c r="C40" s="204"/>
      <c r="D40" s="204"/>
      <c r="E40" s="204"/>
      <c r="F40" s="204"/>
      <c r="G40" s="204"/>
      <c r="H40" s="204"/>
    </row>
    <row r="41" spans="1:8">
      <c r="B41" s="204"/>
      <c r="C41" s="204"/>
      <c r="D41" s="204"/>
      <c r="E41" s="204"/>
      <c r="F41" s="204"/>
      <c r="G41" s="204"/>
      <c r="H41" s="204"/>
    </row>
    <row r="42" spans="1:8">
      <c r="B42" s="204"/>
      <c r="C42" s="204"/>
      <c r="D42" s="204"/>
      <c r="E42" s="204"/>
      <c r="F42" s="204"/>
      <c r="G42" s="204"/>
      <c r="H42" s="204"/>
    </row>
    <row r="43" spans="1:8">
      <c r="B43" s="204"/>
      <c r="C43" s="204"/>
      <c r="D43" s="204"/>
      <c r="E43" s="204"/>
      <c r="F43" s="204"/>
      <c r="G43" s="204"/>
      <c r="H43" s="204"/>
    </row>
    <row r="44" spans="1:8">
      <c r="B44" s="204"/>
      <c r="C44" s="204"/>
      <c r="D44" s="204"/>
      <c r="E44" s="204"/>
      <c r="F44" s="204"/>
      <c r="G44" s="204"/>
      <c r="H44" s="204"/>
    </row>
    <row r="45" spans="1:8">
      <c r="B45" s="204"/>
      <c r="C45" s="204"/>
      <c r="D45" s="204"/>
      <c r="E45" s="204"/>
      <c r="F45" s="204"/>
      <c r="G45" s="204"/>
      <c r="H45" s="204"/>
    </row>
    <row r="46" spans="1:8">
      <c r="B46" s="204"/>
      <c r="C46" s="204"/>
      <c r="D46" s="204"/>
      <c r="E46" s="204"/>
      <c r="F46" s="204"/>
      <c r="G46" s="204"/>
      <c r="H46" s="204"/>
    </row>
    <row r="47" spans="1:8">
      <c r="B47" s="204"/>
      <c r="C47" s="204"/>
      <c r="D47" s="204"/>
      <c r="E47" s="204"/>
      <c r="F47" s="204"/>
      <c r="G47" s="204"/>
      <c r="H47" s="204"/>
    </row>
    <row r="48" spans="1:8">
      <c r="B48" s="204"/>
      <c r="C48" s="204"/>
      <c r="D48" s="204"/>
      <c r="E48" s="204"/>
      <c r="F48" s="204"/>
      <c r="G48" s="204"/>
      <c r="H48" s="204"/>
    </row>
    <row r="49" spans="2:8">
      <c r="B49" s="204"/>
      <c r="C49" s="204"/>
      <c r="D49" s="204"/>
      <c r="E49" s="204"/>
      <c r="F49" s="204"/>
      <c r="G49" s="204"/>
      <c r="H49" s="204"/>
    </row>
    <row r="50" spans="2:8">
      <c r="B50" s="204"/>
      <c r="C50" s="204"/>
      <c r="D50" s="204"/>
      <c r="E50" s="204"/>
      <c r="F50" s="204"/>
      <c r="G50" s="204"/>
      <c r="H50" s="204"/>
    </row>
    <row r="51" spans="2:8">
      <c r="B51" s="204"/>
      <c r="C51" s="204"/>
      <c r="D51" s="204"/>
      <c r="E51" s="204"/>
      <c r="F51" s="204"/>
      <c r="G51" s="204"/>
      <c r="H51" s="204"/>
    </row>
    <row r="52" spans="2:8">
      <c r="B52" s="204"/>
      <c r="C52" s="204"/>
      <c r="D52" s="204"/>
      <c r="E52" s="204"/>
      <c r="F52" s="204"/>
      <c r="G52" s="204"/>
      <c r="H52" s="204"/>
    </row>
    <row r="53" spans="2:8">
      <c r="B53" s="204"/>
      <c r="C53" s="204"/>
      <c r="D53" s="204"/>
      <c r="E53" s="204"/>
      <c r="F53" s="204"/>
      <c r="G53" s="204"/>
      <c r="H53" s="204"/>
    </row>
    <row r="54" spans="2:8">
      <c r="B54" s="204"/>
      <c r="C54" s="204"/>
      <c r="D54" s="204"/>
      <c r="E54" s="204"/>
      <c r="F54" s="204"/>
      <c r="G54" s="204"/>
      <c r="H54" s="204"/>
    </row>
    <row r="55" spans="2:8">
      <c r="B55" s="204"/>
      <c r="C55" s="204"/>
      <c r="D55" s="204"/>
      <c r="E55" s="204"/>
      <c r="F55" s="204"/>
      <c r="G55" s="204"/>
      <c r="H55" s="204"/>
    </row>
    <row r="56" spans="2:8">
      <c r="B56" s="204"/>
      <c r="C56" s="204"/>
      <c r="D56" s="204"/>
      <c r="E56" s="204"/>
      <c r="F56" s="204"/>
      <c r="G56" s="204"/>
      <c r="H56" s="204"/>
    </row>
    <row r="57" spans="2:8">
      <c r="B57" s="204"/>
      <c r="C57" s="204"/>
      <c r="D57" s="204"/>
      <c r="E57" s="204"/>
      <c r="F57" s="204"/>
      <c r="G57" s="204"/>
      <c r="H57" s="204"/>
    </row>
    <row r="58" spans="2:8">
      <c r="B58" s="204"/>
      <c r="C58" s="204"/>
      <c r="D58" s="204"/>
      <c r="E58" s="204"/>
      <c r="F58" s="204"/>
      <c r="G58" s="204"/>
      <c r="H58" s="204"/>
    </row>
    <row r="59" spans="2:8">
      <c r="B59" s="204"/>
      <c r="C59" s="204"/>
      <c r="D59" s="204"/>
      <c r="E59" s="204"/>
      <c r="F59" s="204"/>
      <c r="G59" s="204"/>
      <c r="H59" s="204"/>
    </row>
    <row r="60" spans="2:8">
      <c r="B60" s="204"/>
      <c r="C60" s="204"/>
      <c r="D60" s="204"/>
      <c r="E60" s="204"/>
      <c r="F60" s="204"/>
      <c r="G60" s="204"/>
      <c r="H60" s="204"/>
    </row>
  </sheetData>
  <mergeCells count="10">
    <mergeCell ref="A29:H29"/>
    <mergeCell ref="A30:H30"/>
    <mergeCell ref="A3:A4"/>
    <mergeCell ref="B3:D3"/>
    <mergeCell ref="A27:H27"/>
    <mergeCell ref="A28:H28"/>
    <mergeCell ref="E3:E4"/>
    <mergeCell ref="F3:F4"/>
    <mergeCell ref="G3:G4"/>
    <mergeCell ref="H3:H4"/>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47"/>
  <sheetViews>
    <sheetView zoomScaleNormal="100" workbookViewId="0"/>
  </sheetViews>
  <sheetFormatPr baseColWidth="10" defaultColWidth="10.625" defaultRowHeight="12.75"/>
  <cols>
    <col min="1" max="1" width="30.625" style="72" customWidth="1"/>
    <col min="2" max="13" width="10.625" style="72" customWidth="1"/>
    <col min="14" max="16384" width="10.625" style="72"/>
  </cols>
  <sheetData>
    <row r="1" spans="1:25">
      <c r="A1" s="235" t="s">
        <v>125</v>
      </c>
    </row>
    <row r="2" spans="1:25">
      <c r="B2" s="236"/>
      <c r="C2" s="236"/>
      <c r="D2" s="236"/>
      <c r="E2" s="236"/>
      <c r="F2" s="236"/>
      <c r="G2" s="236"/>
      <c r="H2" s="236"/>
      <c r="I2" s="236"/>
      <c r="J2" s="81"/>
      <c r="K2" s="81"/>
      <c r="L2" s="81"/>
      <c r="M2" s="237" t="s">
        <v>17</v>
      </c>
      <c r="N2" s="81"/>
      <c r="O2" s="81"/>
      <c r="P2" s="81"/>
      <c r="Q2" s="81"/>
      <c r="R2" s="81"/>
      <c r="S2" s="81"/>
      <c r="T2" s="81"/>
      <c r="U2" s="81"/>
      <c r="V2" s="81"/>
      <c r="W2" s="81"/>
      <c r="X2" s="81"/>
      <c r="Y2" s="81"/>
    </row>
    <row r="3" spans="1:25">
      <c r="A3" s="463" t="s">
        <v>18</v>
      </c>
      <c r="B3" s="464" t="s">
        <v>39</v>
      </c>
      <c r="C3" s="464"/>
      <c r="D3" s="464"/>
      <c r="E3" s="464"/>
      <c r="F3" s="464"/>
      <c r="G3" s="464"/>
      <c r="H3" s="464" t="s">
        <v>40</v>
      </c>
      <c r="I3" s="464"/>
      <c r="J3" s="464"/>
      <c r="K3" s="464"/>
      <c r="L3" s="464"/>
      <c r="M3" s="464"/>
    </row>
    <row r="4" spans="1:25">
      <c r="A4" s="463"/>
      <c r="B4" s="465" t="s">
        <v>27</v>
      </c>
      <c r="C4" s="465"/>
      <c r="D4" s="465"/>
      <c r="E4" s="466" t="s">
        <v>9</v>
      </c>
      <c r="F4" s="466"/>
      <c r="G4" s="466"/>
      <c r="H4" s="465" t="s">
        <v>27</v>
      </c>
      <c r="I4" s="465"/>
      <c r="J4" s="465"/>
      <c r="K4" s="466" t="s">
        <v>9</v>
      </c>
      <c r="L4" s="466"/>
      <c r="M4" s="466"/>
    </row>
    <row r="5" spans="1:25" s="244" customFormat="1" ht="30" customHeight="1">
      <c r="A5" s="463"/>
      <c r="B5" s="238" t="s">
        <v>3</v>
      </c>
      <c r="C5" s="239" t="s">
        <v>172</v>
      </c>
      <c r="D5" s="239" t="s">
        <v>42</v>
      </c>
      <c r="E5" s="240" t="s">
        <v>3</v>
      </c>
      <c r="F5" s="241" t="s">
        <v>41</v>
      </c>
      <c r="G5" s="242" t="s">
        <v>42</v>
      </c>
      <c r="H5" s="238" t="s">
        <v>3</v>
      </c>
      <c r="I5" s="239" t="s">
        <v>172</v>
      </c>
      <c r="J5" s="243" t="s">
        <v>42</v>
      </c>
      <c r="K5" s="240" t="s">
        <v>3</v>
      </c>
      <c r="L5" s="241" t="s">
        <v>41</v>
      </c>
      <c r="M5" s="242" t="s">
        <v>42</v>
      </c>
    </row>
    <row r="6" spans="1:25">
      <c r="A6" s="245" t="s">
        <v>21</v>
      </c>
      <c r="B6" s="246">
        <v>199</v>
      </c>
      <c r="C6" s="247">
        <v>48</v>
      </c>
      <c r="D6" s="248">
        <v>128</v>
      </c>
      <c r="E6" s="246">
        <v>727</v>
      </c>
      <c r="F6" s="249">
        <v>217</v>
      </c>
      <c r="G6" s="248">
        <v>895</v>
      </c>
      <c r="H6" s="246">
        <v>212</v>
      </c>
      <c r="I6" s="247">
        <v>29</v>
      </c>
      <c r="J6" s="248">
        <v>3044</v>
      </c>
      <c r="K6" s="246">
        <v>503</v>
      </c>
      <c r="L6" s="247">
        <v>163</v>
      </c>
      <c r="M6" s="248">
        <v>7969</v>
      </c>
      <c r="O6" s="45"/>
      <c r="P6" s="45"/>
      <c r="R6" s="61"/>
    </row>
    <row r="7" spans="1:25">
      <c r="A7" s="250" t="s">
        <v>43</v>
      </c>
      <c r="B7" s="251">
        <v>2</v>
      </c>
      <c r="C7" s="252">
        <v>0</v>
      </c>
      <c r="D7" s="253">
        <v>1</v>
      </c>
      <c r="E7" s="192">
        <v>2</v>
      </c>
      <c r="F7" s="191">
        <v>1</v>
      </c>
      <c r="G7" s="193">
        <v>2</v>
      </c>
      <c r="H7" s="251">
        <v>2</v>
      </c>
      <c r="I7" s="252">
        <v>0</v>
      </c>
      <c r="J7" s="253">
        <v>23</v>
      </c>
      <c r="K7" s="192">
        <v>1</v>
      </c>
      <c r="L7" s="191">
        <v>0</v>
      </c>
      <c r="M7" s="193">
        <v>19</v>
      </c>
      <c r="R7" s="81"/>
    </row>
    <row r="8" spans="1:25">
      <c r="A8" s="250" t="s">
        <v>44</v>
      </c>
      <c r="B8" s="251">
        <v>7</v>
      </c>
      <c r="C8" s="252">
        <v>1</v>
      </c>
      <c r="D8" s="253">
        <v>0</v>
      </c>
      <c r="E8" s="192">
        <v>25</v>
      </c>
      <c r="F8" s="191">
        <v>7</v>
      </c>
      <c r="G8" s="193">
        <v>3</v>
      </c>
      <c r="H8" s="251">
        <v>7</v>
      </c>
      <c r="I8" s="252">
        <v>1</v>
      </c>
      <c r="J8" s="253">
        <v>9</v>
      </c>
      <c r="K8" s="192">
        <v>17</v>
      </c>
      <c r="L8" s="191">
        <v>5</v>
      </c>
      <c r="M8" s="193">
        <v>23</v>
      </c>
      <c r="R8" s="81"/>
    </row>
    <row r="9" spans="1:25">
      <c r="A9" s="63" t="s">
        <v>45</v>
      </c>
      <c r="B9" s="229">
        <v>11</v>
      </c>
      <c r="C9" s="230">
        <v>3</v>
      </c>
      <c r="D9" s="231">
        <v>7</v>
      </c>
      <c r="E9" s="232">
        <v>39</v>
      </c>
      <c r="F9" s="233">
        <v>12</v>
      </c>
      <c r="G9" s="234">
        <v>49</v>
      </c>
      <c r="H9" s="229">
        <v>2</v>
      </c>
      <c r="I9" s="230">
        <v>0</v>
      </c>
      <c r="J9" s="231">
        <v>35</v>
      </c>
      <c r="K9" s="232">
        <v>6</v>
      </c>
      <c r="L9" s="233">
        <v>2</v>
      </c>
      <c r="M9" s="234">
        <v>92</v>
      </c>
      <c r="N9" s="45"/>
      <c r="O9" s="64"/>
      <c r="R9" s="81"/>
    </row>
    <row r="10" spans="1:25">
      <c r="A10" s="245" t="s">
        <v>46</v>
      </c>
      <c r="B10" s="254"/>
      <c r="C10" s="255"/>
      <c r="D10" s="256"/>
      <c r="E10" s="257"/>
      <c r="F10" s="258"/>
      <c r="G10" s="259"/>
      <c r="H10" s="254"/>
      <c r="I10" s="255"/>
      <c r="J10" s="256"/>
      <c r="K10" s="257"/>
      <c r="L10" s="258"/>
      <c r="M10" s="259"/>
      <c r="R10" s="81"/>
    </row>
    <row r="11" spans="1:25">
      <c r="A11" s="250" t="s">
        <v>47</v>
      </c>
      <c r="B11" s="251">
        <v>28</v>
      </c>
      <c r="C11" s="252">
        <v>23</v>
      </c>
      <c r="D11" s="253">
        <v>8</v>
      </c>
      <c r="E11" s="192">
        <v>33</v>
      </c>
      <c r="F11" s="191">
        <v>32</v>
      </c>
      <c r="G11" s="193">
        <v>26</v>
      </c>
      <c r="H11" s="251" t="s">
        <v>23</v>
      </c>
      <c r="I11" s="252" t="s">
        <v>23</v>
      </c>
      <c r="J11" s="253" t="s">
        <v>23</v>
      </c>
      <c r="K11" s="192" t="s">
        <v>23</v>
      </c>
      <c r="L11" s="191" t="s">
        <v>23</v>
      </c>
      <c r="M11" s="193" t="s">
        <v>23</v>
      </c>
    </row>
    <row r="12" spans="1:25" ht="30" customHeight="1">
      <c r="A12" s="250" t="s">
        <v>152</v>
      </c>
      <c r="B12" s="251">
        <v>45</v>
      </c>
      <c r="C12" s="252">
        <v>38</v>
      </c>
      <c r="D12" s="253">
        <v>41</v>
      </c>
      <c r="E12" s="192">
        <v>39</v>
      </c>
      <c r="F12" s="191">
        <v>31</v>
      </c>
      <c r="G12" s="193">
        <v>31</v>
      </c>
      <c r="H12" s="251" t="s">
        <v>23</v>
      </c>
      <c r="I12" s="252" t="s">
        <v>23</v>
      </c>
      <c r="J12" s="253" t="s">
        <v>23</v>
      </c>
      <c r="K12" s="192" t="s">
        <v>23</v>
      </c>
      <c r="L12" s="191" t="s">
        <v>23</v>
      </c>
      <c r="M12" s="193" t="s">
        <v>23</v>
      </c>
      <c r="O12" s="45"/>
      <c r="R12" s="81"/>
    </row>
    <row r="13" spans="1:25" ht="30" customHeight="1">
      <c r="A13" s="260" t="s">
        <v>48</v>
      </c>
      <c r="B13" s="261">
        <v>27</v>
      </c>
      <c r="C13" s="262">
        <v>40</v>
      </c>
      <c r="D13" s="263">
        <v>51</v>
      </c>
      <c r="E13" s="264">
        <v>29</v>
      </c>
      <c r="F13" s="265">
        <v>37</v>
      </c>
      <c r="G13" s="266">
        <v>44</v>
      </c>
      <c r="H13" s="261" t="s">
        <v>23</v>
      </c>
      <c r="I13" s="262" t="s">
        <v>23</v>
      </c>
      <c r="J13" s="263" t="s">
        <v>23</v>
      </c>
      <c r="K13" s="264" t="s">
        <v>23</v>
      </c>
      <c r="L13" s="265" t="s">
        <v>23</v>
      </c>
      <c r="M13" s="266" t="s">
        <v>23</v>
      </c>
    </row>
    <row r="14" spans="1:25">
      <c r="A14" s="245" t="s">
        <v>49</v>
      </c>
      <c r="B14" s="254"/>
      <c r="C14" s="255"/>
      <c r="D14" s="256"/>
      <c r="E14" s="257"/>
      <c r="F14" s="258"/>
      <c r="G14" s="259"/>
      <c r="H14" s="254"/>
      <c r="I14" s="255"/>
      <c r="J14" s="256"/>
      <c r="K14" s="257"/>
      <c r="L14" s="258"/>
      <c r="M14" s="259"/>
      <c r="R14" s="81"/>
    </row>
    <row r="15" spans="1:25">
      <c r="A15" s="250" t="s">
        <v>50</v>
      </c>
      <c r="B15" s="251">
        <v>41</v>
      </c>
      <c r="C15" s="252">
        <v>23</v>
      </c>
      <c r="D15" s="253">
        <v>45</v>
      </c>
      <c r="E15" s="192">
        <v>25</v>
      </c>
      <c r="F15" s="191">
        <v>11</v>
      </c>
      <c r="G15" s="193">
        <v>17</v>
      </c>
      <c r="H15" s="251">
        <v>63</v>
      </c>
      <c r="I15" s="252">
        <v>37</v>
      </c>
      <c r="J15" s="253">
        <v>29</v>
      </c>
      <c r="K15" s="192">
        <v>42</v>
      </c>
      <c r="L15" s="191">
        <v>12</v>
      </c>
      <c r="M15" s="193">
        <v>17</v>
      </c>
    </row>
    <row r="16" spans="1:25">
      <c r="A16" s="250" t="s">
        <v>51</v>
      </c>
      <c r="B16" s="251">
        <v>8</v>
      </c>
      <c r="C16" s="252">
        <v>3</v>
      </c>
      <c r="D16" s="253">
        <v>12</v>
      </c>
      <c r="E16" s="192">
        <v>19</v>
      </c>
      <c r="F16" s="191">
        <v>8</v>
      </c>
      <c r="G16" s="193">
        <v>15</v>
      </c>
      <c r="H16" s="251">
        <v>8</v>
      </c>
      <c r="I16" s="252">
        <v>7</v>
      </c>
      <c r="J16" s="253">
        <v>10</v>
      </c>
      <c r="K16" s="192">
        <v>24</v>
      </c>
      <c r="L16" s="191">
        <v>11</v>
      </c>
      <c r="M16" s="193">
        <v>11</v>
      </c>
      <c r="P16" s="45"/>
      <c r="Q16" s="45"/>
      <c r="R16" s="45"/>
      <c r="S16" s="33"/>
      <c r="T16" s="45"/>
      <c r="U16" s="45"/>
      <c r="V16" s="45"/>
    </row>
    <row r="17" spans="1:22">
      <c r="A17" s="250" t="s">
        <v>52</v>
      </c>
      <c r="B17" s="251">
        <v>2</v>
      </c>
      <c r="C17" s="252">
        <v>2</v>
      </c>
      <c r="D17" s="253">
        <v>11</v>
      </c>
      <c r="E17" s="192">
        <v>1</v>
      </c>
      <c r="F17" s="191">
        <v>1</v>
      </c>
      <c r="G17" s="193">
        <v>2</v>
      </c>
      <c r="H17" s="251">
        <v>20</v>
      </c>
      <c r="I17" s="252">
        <v>13</v>
      </c>
      <c r="J17" s="253">
        <v>59</v>
      </c>
      <c r="K17" s="192">
        <v>8</v>
      </c>
      <c r="L17" s="191">
        <v>2</v>
      </c>
      <c r="M17" s="193">
        <v>23</v>
      </c>
      <c r="O17" s="45"/>
      <c r="P17" s="45"/>
      <c r="Q17" s="45"/>
      <c r="R17" s="45"/>
      <c r="S17" s="45"/>
      <c r="T17" s="45"/>
      <c r="U17" s="45"/>
      <c r="V17" s="45"/>
    </row>
    <row r="18" spans="1:22">
      <c r="A18" s="250" t="s">
        <v>53</v>
      </c>
      <c r="B18" s="251">
        <v>7</v>
      </c>
      <c r="C18" s="252">
        <v>34</v>
      </c>
      <c r="D18" s="253">
        <v>2</v>
      </c>
      <c r="E18" s="192">
        <v>13</v>
      </c>
      <c r="F18" s="191">
        <v>45</v>
      </c>
      <c r="G18" s="193">
        <v>42</v>
      </c>
      <c r="H18" s="251">
        <v>2</v>
      </c>
      <c r="I18" s="252">
        <v>28</v>
      </c>
      <c r="J18" s="253">
        <v>0</v>
      </c>
      <c r="K18" s="192">
        <v>14</v>
      </c>
      <c r="L18" s="191">
        <v>63</v>
      </c>
      <c r="M18" s="193">
        <v>47</v>
      </c>
    </row>
    <row r="19" spans="1:22">
      <c r="A19" s="250" t="s">
        <v>157</v>
      </c>
      <c r="B19" s="251">
        <v>27</v>
      </c>
      <c r="C19" s="252">
        <v>30</v>
      </c>
      <c r="D19" s="253">
        <v>20</v>
      </c>
      <c r="E19" s="192">
        <v>34</v>
      </c>
      <c r="F19" s="191">
        <v>30</v>
      </c>
      <c r="G19" s="193">
        <v>18</v>
      </c>
      <c r="H19" s="251">
        <v>7</v>
      </c>
      <c r="I19" s="252">
        <v>14</v>
      </c>
      <c r="J19" s="253">
        <v>1</v>
      </c>
      <c r="K19" s="192">
        <v>11</v>
      </c>
      <c r="L19" s="191">
        <v>11</v>
      </c>
      <c r="M19" s="193">
        <v>1</v>
      </c>
      <c r="P19" s="81"/>
    </row>
    <row r="20" spans="1:22">
      <c r="A20" s="250" t="s">
        <v>54</v>
      </c>
      <c r="B20" s="251">
        <v>14</v>
      </c>
      <c r="C20" s="252">
        <v>8</v>
      </c>
      <c r="D20" s="253">
        <v>10</v>
      </c>
      <c r="E20" s="192">
        <v>9</v>
      </c>
      <c r="F20" s="191">
        <v>5</v>
      </c>
      <c r="G20" s="193">
        <v>5</v>
      </c>
      <c r="H20" s="251" t="s">
        <v>23</v>
      </c>
      <c r="I20" s="252" t="s">
        <v>23</v>
      </c>
      <c r="J20" s="253" t="s">
        <v>23</v>
      </c>
      <c r="K20" s="192" t="s">
        <v>23</v>
      </c>
      <c r="L20" s="191" t="s">
        <v>23</v>
      </c>
      <c r="M20" s="193" t="s">
        <v>23</v>
      </c>
      <c r="P20" s="81"/>
    </row>
    <row r="21" spans="1:22">
      <c r="A21" s="260" t="s">
        <v>55</v>
      </c>
      <c r="B21" s="261">
        <v>0</v>
      </c>
      <c r="C21" s="262">
        <v>1</v>
      </c>
      <c r="D21" s="263">
        <v>1</v>
      </c>
      <c r="E21" s="264">
        <v>1</v>
      </c>
      <c r="F21" s="265">
        <v>1</v>
      </c>
      <c r="G21" s="266">
        <v>1</v>
      </c>
      <c r="H21" s="261">
        <v>0</v>
      </c>
      <c r="I21" s="262">
        <v>1</v>
      </c>
      <c r="J21" s="263">
        <v>1</v>
      </c>
      <c r="K21" s="264">
        <v>1</v>
      </c>
      <c r="L21" s="265">
        <v>1</v>
      </c>
      <c r="M21" s="266">
        <v>1</v>
      </c>
    </row>
    <row r="22" spans="1:22">
      <c r="A22" s="37" t="s">
        <v>138</v>
      </c>
      <c r="C22" s="94"/>
      <c r="D22" s="30"/>
    </row>
    <row r="23" spans="1:22">
      <c r="A23" s="461" t="s">
        <v>56</v>
      </c>
      <c r="B23" s="461"/>
      <c r="C23" s="461"/>
      <c r="D23" s="461"/>
      <c r="E23" s="461"/>
      <c r="F23" s="461"/>
      <c r="G23" s="461"/>
      <c r="H23" s="461"/>
      <c r="I23" s="461"/>
      <c r="J23" s="461"/>
      <c r="K23" s="461"/>
      <c r="L23" s="461"/>
      <c r="M23" s="461"/>
    </row>
    <row r="24" spans="1:22" ht="30" customHeight="1">
      <c r="A24" s="462" t="s">
        <v>154</v>
      </c>
      <c r="B24" s="462"/>
      <c r="C24" s="462"/>
      <c r="D24" s="462"/>
      <c r="E24" s="462"/>
      <c r="F24" s="462"/>
      <c r="G24" s="462"/>
      <c r="H24" s="462"/>
      <c r="I24" s="462"/>
      <c r="J24" s="462"/>
      <c r="K24" s="462"/>
      <c r="L24" s="462"/>
      <c r="M24" s="462"/>
    </row>
    <row r="25" spans="1:22" ht="30" customHeight="1">
      <c r="A25" s="446" t="s">
        <v>153</v>
      </c>
      <c r="B25" s="446"/>
      <c r="C25" s="446"/>
      <c r="D25" s="446"/>
      <c r="E25" s="446"/>
      <c r="F25" s="446"/>
      <c r="G25" s="446"/>
      <c r="H25" s="446"/>
      <c r="I25" s="446"/>
      <c r="J25" s="446"/>
      <c r="K25" s="446"/>
      <c r="L25" s="446"/>
      <c r="M25" s="446"/>
    </row>
    <row r="26" spans="1:22">
      <c r="A26" s="124" t="s">
        <v>155</v>
      </c>
      <c r="B26" s="267"/>
      <c r="C26" s="267"/>
      <c r="D26" s="267"/>
      <c r="E26" s="267"/>
      <c r="F26" s="267"/>
      <c r="G26" s="267"/>
    </row>
    <row r="27" spans="1:22">
      <c r="A27" s="124" t="s">
        <v>16</v>
      </c>
      <c r="B27" s="268"/>
      <c r="C27" s="268"/>
      <c r="D27" s="268"/>
      <c r="E27" s="268"/>
      <c r="F27" s="268"/>
      <c r="G27" s="268"/>
    </row>
    <row r="28" spans="1:22">
      <c r="A28" s="98"/>
      <c r="B28" s="269"/>
      <c r="C28" s="269"/>
      <c r="D28" s="269"/>
      <c r="E28" s="269"/>
      <c r="F28" s="269"/>
      <c r="G28" s="269"/>
      <c r="H28" s="270"/>
      <c r="I28" s="81"/>
      <c r="J28" s="81"/>
    </row>
    <row r="29" spans="1:22">
      <c r="A29" s="98"/>
      <c r="B29" s="269"/>
      <c r="C29" s="269"/>
      <c r="D29" s="269"/>
      <c r="E29" s="269"/>
      <c r="F29" s="269"/>
      <c r="G29" s="269"/>
      <c r="H29" s="269"/>
      <c r="I29" s="269"/>
      <c r="J29" s="269"/>
      <c r="K29" s="269"/>
      <c r="L29" s="269"/>
      <c r="M29" s="269"/>
    </row>
    <row r="30" spans="1:22">
      <c r="A30" s="98"/>
      <c r="B30" s="269"/>
      <c r="C30" s="269"/>
      <c r="D30" s="269"/>
      <c r="E30" s="269"/>
      <c r="F30" s="269"/>
      <c r="G30" s="269"/>
      <c r="H30" s="269"/>
      <c r="I30" s="269"/>
      <c r="J30" s="269"/>
      <c r="K30" s="269"/>
      <c r="L30" s="269"/>
      <c r="M30" s="269"/>
    </row>
    <row r="31" spans="1:22">
      <c r="B31" s="269"/>
      <c r="C31" s="269"/>
      <c r="D31" s="269"/>
      <c r="E31" s="269"/>
      <c r="F31" s="269"/>
      <c r="G31" s="269"/>
      <c r="H31" s="271"/>
      <c r="I31" s="271"/>
      <c r="J31" s="271"/>
      <c r="K31" s="271"/>
      <c r="L31" s="271"/>
      <c r="M31" s="271"/>
      <c r="N31" s="272"/>
    </row>
    <row r="32" spans="1:22">
      <c r="B32" s="269"/>
      <c r="C32" s="269"/>
      <c r="D32" s="269"/>
      <c r="E32" s="269"/>
      <c r="F32" s="269"/>
      <c r="G32" s="269"/>
      <c r="H32" s="271"/>
      <c r="I32" s="271"/>
      <c r="J32" s="271"/>
      <c r="K32" s="271"/>
      <c r="L32" s="271"/>
      <c r="M32" s="271"/>
      <c r="N32" s="272"/>
    </row>
    <row r="33" spans="2:14">
      <c r="B33" s="269"/>
      <c r="C33" s="269"/>
      <c r="D33" s="269"/>
      <c r="E33" s="269"/>
      <c r="F33" s="269"/>
      <c r="G33" s="269"/>
      <c r="H33" s="271"/>
      <c r="I33" s="271"/>
      <c r="J33" s="271"/>
      <c r="K33" s="271"/>
      <c r="L33" s="271"/>
      <c r="M33" s="271"/>
      <c r="N33" s="272"/>
    </row>
    <row r="34" spans="2:14">
      <c r="B34" s="269"/>
      <c r="C34" s="269"/>
      <c r="D34" s="269"/>
      <c r="E34" s="269"/>
      <c r="F34" s="269"/>
      <c r="G34" s="269"/>
      <c r="H34" s="273"/>
      <c r="I34" s="273"/>
      <c r="J34" s="273"/>
      <c r="K34" s="36"/>
      <c r="L34" s="36"/>
      <c r="M34" s="36"/>
      <c r="N34" s="272"/>
    </row>
    <row r="35" spans="2:14">
      <c r="B35" s="269"/>
      <c r="C35" s="269"/>
      <c r="D35" s="269"/>
      <c r="E35" s="269"/>
      <c r="F35" s="269"/>
      <c r="G35" s="269"/>
      <c r="H35" s="273"/>
      <c r="I35" s="273"/>
      <c r="J35" s="273"/>
      <c r="K35" s="36"/>
      <c r="L35" s="36"/>
      <c r="M35" s="36"/>
      <c r="N35" s="272"/>
    </row>
    <row r="36" spans="2:14">
      <c r="B36" s="269"/>
      <c r="C36" s="269"/>
      <c r="D36" s="269"/>
      <c r="E36" s="269"/>
      <c r="F36" s="269"/>
      <c r="G36" s="269"/>
      <c r="H36" s="273"/>
      <c r="I36" s="273"/>
      <c r="J36" s="273"/>
      <c r="K36" s="36"/>
      <c r="L36" s="36"/>
      <c r="M36" s="36"/>
      <c r="N36" s="272"/>
    </row>
    <row r="37" spans="2:14">
      <c r="B37" s="269"/>
      <c r="C37" s="269"/>
      <c r="D37" s="269"/>
      <c r="E37" s="269"/>
      <c r="F37" s="269"/>
      <c r="G37" s="269"/>
      <c r="H37" s="269"/>
      <c r="I37" s="269"/>
      <c r="J37" s="269"/>
      <c r="K37" s="269"/>
      <c r="L37" s="269"/>
      <c r="M37" s="269"/>
    </row>
    <row r="38" spans="2:14">
      <c r="B38" s="269"/>
      <c r="C38" s="269"/>
      <c r="D38" s="269"/>
      <c r="E38" s="269"/>
      <c r="F38" s="269"/>
      <c r="G38" s="269"/>
      <c r="H38" s="269"/>
      <c r="I38" s="269"/>
      <c r="J38" s="269"/>
      <c r="K38" s="269"/>
      <c r="L38" s="269"/>
      <c r="M38" s="269"/>
    </row>
    <row r="39" spans="2:14">
      <c r="B39" s="269"/>
      <c r="C39" s="269"/>
      <c r="D39" s="269"/>
      <c r="E39" s="269"/>
      <c r="F39" s="269"/>
      <c r="G39" s="269"/>
      <c r="H39" s="269"/>
      <c r="I39" s="269"/>
      <c r="J39" s="269"/>
      <c r="K39" s="269"/>
      <c r="L39" s="269"/>
      <c r="M39" s="269"/>
    </row>
    <row r="40" spans="2:14">
      <c r="B40" s="269"/>
      <c r="C40" s="269"/>
      <c r="D40" s="269"/>
      <c r="E40" s="269"/>
      <c r="F40" s="269"/>
      <c r="G40" s="269"/>
      <c r="H40" s="269"/>
      <c r="I40" s="269"/>
      <c r="J40" s="269"/>
      <c r="K40" s="269"/>
      <c r="L40" s="269"/>
      <c r="M40" s="269"/>
    </row>
    <row r="41" spans="2:14">
      <c r="B41" s="269"/>
      <c r="C41" s="269"/>
      <c r="D41" s="269"/>
      <c r="E41" s="269"/>
      <c r="F41" s="269"/>
      <c r="G41" s="269"/>
      <c r="H41" s="269"/>
      <c r="I41" s="269"/>
      <c r="J41" s="269"/>
      <c r="K41" s="269"/>
      <c r="L41" s="269"/>
      <c r="M41" s="269"/>
    </row>
    <row r="42" spans="2:14">
      <c r="B42" s="269"/>
      <c r="C42" s="269"/>
      <c r="D42" s="269"/>
      <c r="E42" s="269"/>
      <c r="F42" s="269"/>
      <c r="G42" s="269"/>
      <c r="H42" s="269"/>
      <c r="I42" s="269"/>
      <c r="J42" s="269"/>
      <c r="K42" s="269"/>
      <c r="L42" s="269"/>
      <c r="M42" s="269"/>
    </row>
    <row r="43" spans="2:14">
      <c r="B43" s="269"/>
      <c r="C43" s="269"/>
      <c r="D43" s="269"/>
      <c r="E43" s="269"/>
      <c r="F43" s="269"/>
      <c r="G43" s="269"/>
      <c r="H43" s="269"/>
      <c r="I43" s="269"/>
      <c r="J43" s="269"/>
      <c r="K43" s="269"/>
      <c r="L43" s="269"/>
      <c r="M43" s="269"/>
    </row>
    <row r="44" spans="2:14">
      <c r="B44" s="269"/>
      <c r="C44" s="269"/>
      <c r="D44" s="269"/>
      <c r="E44" s="269"/>
      <c r="F44" s="269"/>
      <c r="G44" s="269"/>
      <c r="H44" s="269"/>
      <c r="I44" s="269"/>
      <c r="J44" s="269"/>
      <c r="K44" s="269"/>
      <c r="L44" s="269"/>
      <c r="M44" s="269"/>
    </row>
    <row r="45" spans="2:14">
      <c r="B45" s="81"/>
      <c r="C45" s="81"/>
      <c r="D45" s="81"/>
      <c r="E45" s="81"/>
      <c r="F45" s="81"/>
      <c r="G45" s="81"/>
      <c r="H45" s="81"/>
      <c r="I45" s="81"/>
      <c r="J45" s="81"/>
    </row>
    <row r="46" spans="2:14">
      <c r="B46" s="81"/>
      <c r="C46" s="81"/>
      <c r="D46" s="81"/>
      <c r="E46" s="81"/>
      <c r="F46" s="81"/>
      <c r="G46" s="81"/>
      <c r="H46" s="81"/>
      <c r="I46" s="81"/>
      <c r="J46" s="81"/>
    </row>
    <row r="47" spans="2:14">
      <c r="B47" s="81"/>
      <c r="C47" s="81"/>
      <c r="D47" s="81"/>
      <c r="E47" s="81"/>
      <c r="F47" s="81"/>
      <c r="G47" s="81"/>
      <c r="H47" s="81"/>
      <c r="I47" s="81"/>
      <c r="J47" s="81"/>
    </row>
  </sheetData>
  <mergeCells count="10">
    <mergeCell ref="A23:M23"/>
    <mergeCell ref="A24:M24"/>
    <mergeCell ref="A25:M25"/>
    <mergeCell ref="A3:A5"/>
    <mergeCell ref="B3:G3"/>
    <mergeCell ref="H3:M3"/>
    <mergeCell ref="B4:D4"/>
    <mergeCell ref="E4:G4"/>
    <mergeCell ref="H4:J4"/>
    <mergeCell ref="K4:M4"/>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51"/>
  <sheetViews>
    <sheetView zoomScaleNormal="100" workbookViewId="0"/>
  </sheetViews>
  <sheetFormatPr baseColWidth="10" defaultColWidth="10.625" defaultRowHeight="12.75"/>
  <cols>
    <col min="1" max="1" width="21.875" style="275" customWidth="1"/>
    <col min="2" max="13" width="10.625" style="275" customWidth="1"/>
    <col min="14" max="14" width="10.625" style="276" customWidth="1"/>
    <col min="15" max="16" width="10.625" style="275" customWidth="1"/>
    <col min="17" max="16384" width="10.625" style="275"/>
  </cols>
  <sheetData>
    <row r="1" spans="1:26">
      <c r="A1" s="274" t="s">
        <v>126</v>
      </c>
    </row>
    <row r="2" spans="1:26">
      <c r="P2" s="277" t="s">
        <v>57</v>
      </c>
    </row>
    <row r="3" spans="1:26" s="278" customFormat="1">
      <c r="A3" s="471" t="s">
        <v>58</v>
      </c>
      <c r="B3" s="469" t="s">
        <v>156</v>
      </c>
      <c r="C3" s="470" t="s">
        <v>59</v>
      </c>
      <c r="D3" s="470"/>
      <c r="E3" s="470"/>
      <c r="F3" s="470"/>
      <c r="G3" s="470" t="s">
        <v>60</v>
      </c>
      <c r="H3" s="470"/>
      <c r="I3" s="470"/>
      <c r="J3" s="470"/>
      <c r="K3" s="469" t="s">
        <v>39</v>
      </c>
      <c r="L3" s="469"/>
      <c r="M3" s="469"/>
      <c r="N3" s="469" t="s">
        <v>40</v>
      </c>
      <c r="O3" s="469"/>
      <c r="P3" s="469"/>
    </row>
    <row r="4" spans="1:26" ht="30" customHeight="1">
      <c r="A4" s="472"/>
      <c r="B4" s="469"/>
      <c r="C4" s="279" t="s">
        <v>3</v>
      </c>
      <c r="D4" s="280" t="s">
        <v>173</v>
      </c>
      <c r="E4" s="280" t="s">
        <v>174</v>
      </c>
      <c r="F4" s="281" t="s">
        <v>63</v>
      </c>
      <c r="G4" s="279" t="s">
        <v>3</v>
      </c>
      <c r="H4" s="280" t="s">
        <v>64</v>
      </c>
      <c r="I4" s="280" t="s">
        <v>6</v>
      </c>
      <c r="J4" s="281" t="s">
        <v>63</v>
      </c>
      <c r="K4" s="279" t="s">
        <v>3</v>
      </c>
      <c r="L4" s="280" t="s">
        <v>65</v>
      </c>
      <c r="M4" s="281" t="s">
        <v>63</v>
      </c>
      <c r="N4" s="279" t="s">
        <v>3</v>
      </c>
      <c r="O4" s="280" t="s">
        <v>65</v>
      </c>
      <c r="P4" s="281" t="s">
        <v>63</v>
      </c>
      <c r="S4" s="282"/>
      <c r="T4" s="282"/>
      <c r="U4" s="282"/>
      <c r="V4" s="282"/>
    </row>
    <row r="5" spans="1:26">
      <c r="A5" s="428" t="s">
        <v>59</v>
      </c>
      <c r="B5" s="433"/>
      <c r="C5" s="429"/>
      <c r="D5" s="429"/>
      <c r="E5" s="429"/>
      <c r="F5" s="429"/>
      <c r="G5" s="428"/>
      <c r="H5" s="429"/>
      <c r="I5" s="429"/>
      <c r="J5" s="430"/>
      <c r="K5" s="429"/>
      <c r="L5" s="429"/>
      <c r="M5" s="429"/>
      <c r="N5" s="428"/>
      <c r="O5" s="429"/>
      <c r="P5" s="430"/>
      <c r="S5" s="282"/>
      <c r="T5" s="282"/>
      <c r="U5" s="282"/>
      <c r="V5" s="282"/>
    </row>
    <row r="6" spans="1:26" s="278" customFormat="1">
      <c r="A6" s="431" t="s">
        <v>3</v>
      </c>
      <c r="B6" s="434">
        <v>1427</v>
      </c>
      <c r="C6" s="284">
        <v>53</v>
      </c>
      <c r="D6" s="284">
        <v>5</v>
      </c>
      <c r="E6" s="284">
        <v>1</v>
      </c>
      <c r="F6" s="284">
        <v>1</v>
      </c>
      <c r="G6" s="283">
        <v>1</v>
      </c>
      <c r="H6" s="284">
        <v>15</v>
      </c>
      <c r="I6" s="284">
        <v>0</v>
      </c>
      <c r="J6" s="285">
        <v>4</v>
      </c>
      <c r="K6" s="284">
        <v>12</v>
      </c>
      <c r="L6" s="284">
        <v>2</v>
      </c>
      <c r="M6" s="284">
        <v>1</v>
      </c>
      <c r="N6" s="283">
        <v>5</v>
      </c>
      <c r="O6" s="284">
        <v>1</v>
      </c>
      <c r="P6" s="285">
        <v>1</v>
      </c>
      <c r="Q6" s="282"/>
      <c r="R6" s="282"/>
      <c r="S6" s="282"/>
      <c r="T6" s="282"/>
      <c r="U6" s="282"/>
      <c r="V6" s="282"/>
      <c r="W6" s="282"/>
      <c r="X6" s="282"/>
      <c r="Y6" s="282"/>
    </row>
    <row r="7" spans="1:26" s="278" customFormat="1">
      <c r="A7" s="431" t="s">
        <v>61</v>
      </c>
      <c r="B7" s="434">
        <v>240</v>
      </c>
      <c r="C7" s="284">
        <v>18</v>
      </c>
      <c r="D7" s="284">
        <v>16</v>
      </c>
      <c r="E7" s="284">
        <v>2</v>
      </c>
      <c r="F7" s="284">
        <v>1</v>
      </c>
      <c r="G7" s="283">
        <v>2</v>
      </c>
      <c r="H7" s="284">
        <v>44</v>
      </c>
      <c r="I7" s="284">
        <v>0</v>
      </c>
      <c r="J7" s="285">
        <v>6</v>
      </c>
      <c r="K7" s="284">
        <v>4</v>
      </c>
      <c r="L7" s="284">
        <v>4</v>
      </c>
      <c r="M7" s="284">
        <v>0</v>
      </c>
      <c r="N7" s="283">
        <v>1</v>
      </c>
      <c r="O7" s="284">
        <v>2</v>
      </c>
      <c r="P7" s="285">
        <v>1</v>
      </c>
      <c r="Q7" s="282"/>
      <c r="R7" s="45"/>
      <c r="S7" s="45"/>
      <c r="T7" s="45"/>
      <c r="U7" s="45"/>
      <c r="V7" s="282"/>
      <c r="W7" s="282"/>
      <c r="X7" s="282"/>
      <c r="Y7" s="282"/>
      <c r="Z7" s="282"/>
    </row>
    <row r="8" spans="1:26" s="278" customFormat="1">
      <c r="A8" s="431" t="s">
        <v>62</v>
      </c>
      <c r="B8" s="434">
        <v>99</v>
      </c>
      <c r="C8" s="284">
        <v>10</v>
      </c>
      <c r="D8" s="284">
        <v>2</v>
      </c>
      <c r="E8" s="284">
        <v>30</v>
      </c>
      <c r="F8" s="284">
        <v>1</v>
      </c>
      <c r="G8" s="283">
        <v>0</v>
      </c>
      <c r="H8" s="284">
        <v>23</v>
      </c>
      <c r="I8" s="284">
        <v>7</v>
      </c>
      <c r="J8" s="285">
        <v>3</v>
      </c>
      <c r="K8" s="284">
        <v>5</v>
      </c>
      <c r="L8" s="284">
        <v>13</v>
      </c>
      <c r="M8" s="284">
        <v>0</v>
      </c>
      <c r="N8" s="283">
        <v>1</v>
      </c>
      <c r="O8" s="284">
        <v>6</v>
      </c>
      <c r="P8" s="285">
        <v>1</v>
      </c>
      <c r="Q8" s="282"/>
      <c r="R8" s="45"/>
      <c r="S8" s="45"/>
      <c r="T8" s="45"/>
      <c r="U8" s="45"/>
      <c r="V8" s="282"/>
      <c r="W8" s="282"/>
      <c r="X8" s="282"/>
      <c r="Y8" s="282"/>
    </row>
    <row r="9" spans="1:26" s="278" customFormat="1">
      <c r="A9" s="431" t="s">
        <v>63</v>
      </c>
      <c r="B9" s="434">
        <v>524</v>
      </c>
      <c r="C9" s="284">
        <v>2</v>
      </c>
      <c r="D9" s="284">
        <v>0</v>
      </c>
      <c r="E9" s="284">
        <v>0</v>
      </c>
      <c r="F9" s="284">
        <v>24</v>
      </c>
      <c r="G9" s="283">
        <v>0</v>
      </c>
      <c r="H9" s="284">
        <v>1</v>
      </c>
      <c r="I9" s="284">
        <v>0</v>
      </c>
      <c r="J9" s="285">
        <v>35</v>
      </c>
      <c r="K9" s="284">
        <v>1</v>
      </c>
      <c r="L9" s="284">
        <v>0</v>
      </c>
      <c r="M9" s="284">
        <v>13</v>
      </c>
      <c r="N9" s="283">
        <v>1</v>
      </c>
      <c r="O9" s="284">
        <v>0</v>
      </c>
      <c r="P9" s="285">
        <v>25</v>
      </c>
      <c r="Q9" s="282"/>
      <c r="R9" s="33"/>
      <c r="S9" s="282"/>
      <c r="T9" s="282"/>
      <c r="U9" s="282"/>
      <c r="V9" s="282"/>
      <c r="W9" s="282"/>
      <c r="X9" s="282"/>
      <c r="Y9" s="282"/>
    </row>
    <row r="10" spans="1:26" s="278" customFormat="1">
      <c r="A10" s="428" t="s">
        <v>60</v>
      </c>
      <c r="B10" s="433"/>
      <c r="C10" s="429"/>
      <c r="D10" s="429"/>
      <c r="E10" s="429"/>
      <c r="F10" s="429"/>
      <c r="G10" s="428"/>
      <c r="H10" s="429"/>
      <c r="I10" s="429"/>
      <c r="J10" s="430"/>
      <c r="K10" s="429"/>
      <c r="L10" s="429"/>
      <c r="M10" s="429"/>
      <c r="N10" s="428"/>
      <c r="O10" s="429"/>
      <c r="P10" s="430"/>
      <c r="Q10" s="282"/>
      <c r="R10" s="33"/>
      <c r="S10" s="282"/>
      <c r="T10" s="282"/>
      <c r="U10" s="282"/>
      <c r="V10" s="282"/>
      <c r="W10" s="282"/>
      <c r="X10" s="282"/>
      <c r="Y10" s="282"/>
    </row>
    <row r="11" spans="1:26" s="278" customFormat="1">
      <c r="A11" s="431" t="s">
        <v>3</v>
      </c>
      <c r="B11" s="434">
        <v>236</v>
      </c>
      <c r="C11" s="284">
        <v>10</v>
      </c>
      <c r="D11" s="284">
        <v>3</v>
      </c>
      <c r="E11" s="284">
        <v>0</v>
      </c>
      <c r="F11" s="284">
        <v>0</v>
      </c>
      <c r="G11" s="283">
        <v>32</v>
      </c>
      <c r="H11" s="284">
        <v>30</v>
      </c>
      <c r="I11" s="284">
        <v>1</v>
      </c>
      <c r="J11" s="285">
        <v>13</v>
      </c>
      <c r="K11" s="284">
        <v>5</v>
      </c>
      <c r="L11" s="284">
        <v>1</v>
      </c>
      <c r="M11" s="284">
        <v>0</v>
      </c>
      <c r="N11" s="283">
        <v>2</v>
      </c>
      <c r="O11" s="284">
        <v>2</v>
      </c>
      <c r="P11" s="285">
        <v>1</v>
      </c>
      <c r="Q11" s="282"/>
      <c r="R11" s="282"/>
      <c r="S11" s="282"/>
      <c r="T11" s="282"/>
      <c r="U11" s="282"/>
      <c r="V11" s="282"/>
      <c r="W11" s="282"/>
      <c r="X11" s="282"/>
      <c r="Y11" s="282"/>
    </row>
    <row r="12" spans="1:26" s="278" customFormat="1">
      <c r="A12" s="431" t="s">
        <v>64</v>
      </c>
      <c r="B12" s="434">
        <v>2555</v>
      </c>
      <c r="C12" s="284">
        <v>4</v>
      </c>
      <c r="D12" s="284">
        <v>3</v>
      </c>
      <c r="E12" s="284">
        <v>1</v>
      </c>
      <c r="F12" s="284">
        <v>0</v>
      </c>
      <c r="G12" s="283">
        <v>2</v>
      </c>
      <c r="H12" s="284">
        <v>76</v>
      </c>
      <c r="I12" s="284">
        <v>1</v>
      </c>
      <c r="J12" s="285">
        <v>8</v>
      </c>
      <c r="K12" s="284">
        <v>2</v>
      </c>
      <c r="L12" s="284">
        <v>1</v>
      </c>
      <c r="M12" s="284">
        <v>0</v>
      </c>
      <c r="N12" s="283">
        <v>1</v>
      </c>
      <c r="O12" s="284">
        <v>0</v>
      </c>
      <c r="P12" s="285">
        <v>0</v>
      </c>
      <c r="Q12" s="282"/>
      <c r="R12" s="282"/>
      <c r="S12" s="282"/>
      <c r="T12" s="282"/>
      <c r="U12" s="282"/>
      <c r="V12" s="282"/>
      <c r="W12" s="282"/>
      <c r="X12" s="282"/>
      <c r="Y12" s="282"/>
    </row>
    <row r="13" spans="1:26" s="278" customFormat="1">
      <c r="A13" s="431" t="s">
        <v>6</v>
      </c>
      <c r="B13" s="434">
        <v>82</v>
      </c>
      <c r="C13" s="284">
        <v>6</v>
      </c>
      <c r="D13" s="284">
        <v>2</v>
      </c>
      <c r="E13" s="284">
        <v>6</v>
      </c>
      <c r="F13" s="284">
        <v>0</v>
      </c>
      <c r="G13" s="283">
        <v>3</v>
      </c>
      <c r="H13" s="284">
        <v>19</v>
      </c>
      <c r="I13" s="284">
        <v>45</v>
      </c>
      <c r="J13" s="285">
        <v>7</v>
      </c>
      <c r="K13" s="284">
        <v>1</v>
      </c>
      <c r="L13" s="284">
        <v>5</v>
      </c>
      <c r="M13" s="284">
        <v>0</v>
      </c>
      <c r="N13" s="283">
        <v>1</v>
      </c>
      <c r="O13" s="284">
        <v>3</v>
      </c>
      <c r="P13" s="285">
        <v>0</v>
      </c>
      <c r="Q13" s="282"/>
      <c r="R13" s="282"/>
      <c r="S13" s="282"/>
      <c r="T13" s="282"/>
      <c r="U13" s="282"/>
      <c r="V13" s="282"/>
      <c r="W13" s="282"/>
      <c r="X13" s="282"/>
      <c r="Y13" s="282"/>
    </row>
    <row r="14" spans="1:26" s="278" customFormat="1">
      <c r="A14" s="432" t="s">
        <v>63</v>
      </c>
      <c r="B14" s="435">
        <v>25491</v>
      </c>
      <c r="C14" s="287">
        <v>0</v>
      </c>
      <c r="D14" s="287">
        <v>0</v>
      </c>
      <c r="E14" s="287">
        <v>0</v>
      </c>
      <c r="F14" s="287">
        <v>1</v>
      </c>
      <c r="G14" s="286">
        <v>0</v>
      </c>
      <c r="H14" s="287">
        <v>0</v>
      </c>
      <c r="I14" s="287">
        <v>0</v>
      </c>
      <c r="J14" s="288">
        <v>96</v>
      </c>
      <c r="K14" s="287">
        <v>0</v>
      </c>
      <c r="L14" s="287">
        <v>0</v>
      </c>
      <c r="M14" s="287">
        <v>0</v>
      </c>
      <c r="N14" s="286">
        <v>0</v>
      </c>
      <c r="O14" s="287">
        <v>0</v>
      </c>
      <c r="P14" s="288">
        <v>1</v>
      </c>
      <c r="Q14" s="282"/>
      <c r="R14" s="282"/>
      <c r="S14" s="282"/>
      <c r="T14" s="282"/>
      <c r="U14" s="282"/>
      <c r="V14" s="282"/>
      <c r="W14" s="282"/>
      <c r="X14" s="282"/>
      <c r="Y14" s="282"/>
    </row>
    <row r="15" spans="1:26" s="278" customFormat="1">
      <c r="A15" s="428" t="s">
        <v>39</v>
      </c>
      <c r="B15" s="433"/>
      <c r="C15" s="429"/>
      <c r="D15" s="429"/>
      <c r="E15" s="429"/>
      <c r="F15" s="429"/>
      <c r="G15" s="428"/>
      <c r="H15" s="429"/>
      <c r="I15" s="429"/>
      <c r="J15" s="430"/>
      <c r="K15" s="429"/>
      <c r="L15" s="429"/>
      <c r="M15" s="429"/>
      <c r="N15" s="428"/>
      <c r="O15" s="429"/>
      <c r="P15" s="430"/>
      <c r="Q15" s="282"/>
      <c r="R15" s="282"/>
      <c r="S15" s="282"/>
      <c r="T15" s="282"/>
      <c r="U15" s="282"/>
      <c r="V15" s="282"/>
      <c r="W15" s="282"/>
      <c r="X15" s="282"/>
      <c r="Y15" s="282"/>
    </row>
    <row r="16" spans="1:26" s="278" customFormat="1">
      <c r="A16" s="431" t="s">
        <v>3</v>
      </c>
      <c r="B16" s="434">
        <v>727</v>
      </c>
      <c r="C16" s="284">
        <v>28</v>
      </c>
      <c r="D16" s="284">
        <v>3</v>
      </c>
      <c r="E16" s="284">
        <v>1</v>
      </c>
      <c r="F16" s="284">
        <v>0</v>
      </c>
      <c r="G16" s="283">
        <v>1</v>
      </c>
      <c r="H16" s="284">
        <v>8</v>
      </c>
      <c r="I16" s="284">
        <v>0</v>
      </c>
      <c r="J16" s="285">
        <v>2</v>
      </c>
      <c r="K16" s="284">
        <v>41</v>
      </c>
      <c r="L16" s="284">
        <v>3</v>
      </c>
      <c r="M16" s="284">
        <v>1</v>
      </c>
      <c r="N16" s="283">
        <v>9</v>
      </c>
      <c r="O16" s="284">
        <v>1</v>
      </c>
      <c r="P16" s="285">
        <v>2</v>
      </c>
      <c r="Q16" s="282"/>
      <c r="R16" s="282"/>
      <c r="S16" s="282"/>
      <c r="T16" s="282"/>
      <c r="U16" s="282"/>
      <c r="V16" s="282"/>
      <c r="W16" s="282"/>
      <c r="X16" s="282"/>
      <c r="Y16" s="282"/>
    </row>
    <row r="17" spans="1:25" s="278" customFormat="1">
      <c r="A17" s="431" t="s">
        <v>65</v>
      </c>
      <c r="B17" s="434">
        <v>218</v>
      </c>
      <c r="C17" s="284">
        <v>10</v>
      </c>
      <c r="D17" s="284">
        <v>5</v>
      </c>
      <c r="E17" s="284">
        <v>8</v>
      </c>
      <c r="F17" s="284">
        <v>0</v>
      </c>
      <c r="G17" s="283">
        <v>1</v>
      </c>
      <c r="H17" s="284">
        <v>20</v>
      </c>
      <c r="I17" s="284">
        <v>3</v>
      </c>
      <c r="J17" s="285">
        <v>4</v>
      </c>
      <c r="K17" s="284">
        <v>9</v>
      </c>
      <c r="L17" s="284">
        <v>25</v>
      </c>
      <c r="M17" s="284">
        <v>1</v>
      </c>
      <c r="N17" s="283">
        <v>6</v>
      </c>
      <c r="O17" s="284">
        <v>8</v>
      </c>
      <c r="P17" s="285">
        <v>1</v>
      </c>
      <c r="Q17" s="282"/>
      <c r="R17" s="282"/>
      <c r="S17" s="282"/>
      <c r="T17" s="282"/>
      <c r="U17" s="282"/>
      <c r="V17" s="282"/>
      <c r="W17" s="282"/>
      <c r="X17" s="282"/>
      <c r="Y17" s="282"/>
    </row>
    <row r="18" spans="1:25" s="278" customFormat="1">
      <c r="A18" s="432" t="s">
        <v>63</v>
      </c>
      <c r="B18" s="435">
        <v>895</v>
      </c>
      <c r="C18" s="287">
        <v>1</v>
      </c>
      <c r="D18" s="287">
        <v>0</v>
      </c>
      <c r="E18" s="287">
        <v>0</v>
      </c>
      <c r="F18" s="287">
        <v>10</v>
      </c>
      <c r="G18" s="286">
        <v>0</v>
      </c>
      <c r="H18" s="287">
        <v>0</v>
      </c>
      <c r="I18" s="287">
        <v>0</v>
      </c>
      <c r="J18" s="288">
        <v>14</v>
      </c>
      <c r="K18" s="287">
        <v>2</v>
      </c>
      <c r="L18" s="287">
        <v>1</v>
      </c>
      <c r="M18" s="287">
        <v>41</v>
      </c>
      <c r="N18" s="286">
        <v>0</v>
      </c>
      <c r="O18" s="287">
        <v>0</v>
      </c>
      <c r="P18" s="288">
        <v>30</v>
      </c>
      <c r="Q18" s="282"/>
      <c r="R18" s="282"/>
      <c r="S18" s="282"/>
      <c r="T18" s="282"/>
      <c r="U18" s="282"/>
      <c r="V18" s="282"/>
      <c r="W18" s="282"/>
      <c r="X18" s="282"/>
      <c r="Y18" s="282"/>
    </row>
    <row r="19" spans="1:25" s="278" customFormat="1">
      <c r="A19" s="428" t="s">
        <v>40</v>
      </c>
      <c r="B19" s="433"/>
      <c r="C19" s="429"/>
      <c r="D19" s="429"/>
      <c r="E19" s="429"/>
      <c r="F19" s="429"/>
      <c r="G19" s="428"/>
      <c r="H19" s="429"/>
      <c r="I19" s="429"/>
      <c r="J19" s="430"/>
      <c r="K19" s="429"/>
      <c r="L19" s="429"/>
      <c r="M19" s="429"/>
      <c r="N19" s="428"/>
      <c r="O19" s="429"/>
      <c r="P19" s="430"/>
      <c r="Q19" s="282"/>
      <c r="R19" s="282"/>
      <c r="S19" s="282"/>
      <c r="T19" s="282"/>
      <c r="U19" s="282"/>
      <c r="V19" s="282"/>
      <c r="W19" s="282"/>
      <c r="X19" s="282"/>
      <c r="Y19" s="282"/>
    </row>
    <row r="20" spans="1:25" s="278" customFormat="1">
      <c r="A20" s="431" t="s">
        <v>3</v>
      </c>
      <c r="B20" s="434">
        <v>503</v>
      </c>
      <c r="C20" s="284">
        <v>10</v>
      </c>
      <c r="D20" s="284">
        <v>1</v>
      </c>
      <c r="E20" s="284">
        <v>0</v>
      </c>
      <c r="F20" s="284">
        <v>0</v>
      </c>
      <c r="G20" s="283">
        <v>1</v>
      </c>
      <c r="H20" s="284">
        <v>4</v>
      </c>
      <c r="I20" s="284">
        <v>0</v>
      </c>
      <c r="J20" s="285">
        <v>1</v>
      </c>
      <c r="K20" s="284">
        <v>16</v>
      </c>
      <c r="L20" s="284">
        <v>2</v>
      </c>
      <c r="M20" s="284">
        <v>0</v>
      </c>
      <c r="N20" s="283">
        <v>55</v>
      </c>
      <c r="O20" s="284">
        <v>4</v>
      </c>
      <c r="P20" s="285">
        <v>8</v>
      </c>
      <c r="Q20" s="282"/>
      <c r="R20" s="282"/>
      <c r="S20" s="282"/>
      <c r="T20" s="282"/>
      <c r="U20" s="282"/>
      <c r="V20" s="282"/>
      <c r="W20" s="282"/>
      <c r="X20" s="282"/>
      <c r="Y20" s="282"/>
    </row>
    <row r="21" spans="1:25" s="278" customFormat="1">
      <c r="A21" s="431" t="s">
        <v>65</v>
      </c>
      <c r="B21" s="434">
        <v>163</v>
      </c>
      <c r="C21" s="284">
        <v>6</v>
      </c>
      <c r="D21" s="284">
        <v>5</v>
      </c>
      <c r="E21" s="284">
        <v>4</v>
      </c>
      <c r="F21" s="284">
        <v>1</v>
      </c>
      <c r="G21" s="283">
        <v>1</v>
      </c>
      <c r="H21" s="284">
        <v>7</v>
      </c>
      <c r="I21" s="284">
        <v>4</v>
      </c>
      <c r="J21" s="285">
        <v>1</v>
      </c>
      <c r="K21" s="284">
        <v>6</v>
      </c>
      <c r="L21" s="284">
        <v>14</v>
      </c>
      <c r="M21" s="284">
        <v>0</v>
      </c>
      <c r="N21" s="283">
        <v>10</v>
      </c>
      <c r="O21" s="284">
        <v>39</v>
      </c>
      <c r="P21" s="285">
        <v>3</v>
      </c>
      <c r="Q21" s="282"/>
      <c r="R21" s="282"/>
      <c r="S21" s="282"/>
      <c r="T21" s="282"/>
      <c r="U21" s="282"/>
      <c r="V21" s="282"/>
      <c r="W21" s="282"/>
      <c r="X21" s="282"/>
      <c r="Y21" s="282"/>
    </row>
    <row r="22" spans="1:25" s="278" customFormat="1">
      <c r="A22" s="432" t="s">
        <v>63</v>
      </c>
      <c r="B22" s="435">
        <v>7969</v>
      </c>
      <c r="C22" s="287">
        <v>0</v>
      </c>
      <c r="D22" s="287">
        <v>0</v>
      </c>
      <c r="E22" s="287">
        <v>0</v>
      </c>
      <c r="F22" s="287">
        <v>2</v>
      </c>
      <c r="G22" s="286">
        <v>0</v>
      </c>
      <c r="H22" s="287">
        <v>0</v>
      </c>
      <c r="I22" s="287">
        <v>0</v>
      </c>
      <c r="J22" s="288">
        <v>4</v>
      </c>
      <c r="K22" s="287">
        <v>0</v>
      </c>
      <c r="L22" s="287">
        <v>0</v>
      </c>
      <c r="M22" s="287">
        <v>4</v>
      </c>
      <c r="N22" s="286">
        <v>0</v>
      </c>
      <c r="O22" s="287">
        <v>0</v>
      </c>
      <c r="P22" s="288">
        <v>90</v>
      </c>
      <c r="Q22" s="282"/>
      <c r="R22" s="282"/>
      <c r="S22" s="282"/>
      <c r="T22" s="282"/>
      <c r="U22" s="282"/>
      <c r="V22" s="282"/>
      <c r="W22" s="282"/>
      <c r="X22" s="282"/>
      <c r="Y22" s="282"/>
    </row>
    <row r="23" spans="1:25">
      <c r="A23" s="467" t="s">
        <v>127</v>
      </c>
      <c r="B23" s="467"/>
      <c r="C23" s="467"/>
      <c r="D23" s="467"/>
      <c r="E23" s="467"/>
      <c r="F23" s="467"/>
      <c r="G23" s="467"/>
      <c r="H23" s="467"/>
      <c r="I23" s="467"/>
      <c r="J23" s="467"/>
      <c r="K23" s="467"/>
      <c r="L23" s="467"/>
      <c r="M23" s="467"/>
      <c r="N23" s="467"/>
      <c r="O23" s="467"/>
      <c r="P23" s="467"/>
    </row>
    <row r="24" spans="1:25">
      <c r="A24" s="468" t="s">
        <v>191</v>
      </c>
      <c r="B24" s="468"/>
      <c r="C24" s="468"/>
      <c r="D24" s="468"/>
      <c r="E24" s="468"/>
      <c r="F24" s="468"/>
      <c r="G24" s="468"/>
      <c r="H24" s="468"/>
      <c r="I24" s="468"/>
      <c r="J24" s="468"/>
      <c r="K24" s="468"/>
      <c r="L24" s="468"/>
      <c r="M24" s="468"/>
      <c r="N24" s="468"/>
      <c r="O24" s="468"/>
      <c r="P24" s="468"/>
    </row>
    <row r="25" spans="1:25">
      <c r="A25" s="468" t="s">
        <v>16</v>
      </c>
      <c r="B25" s="468"/>
      <c r="C25" s="468"/>
      <c r="D25" s="468"/>
      <c r="E25" s="468"/>
      <c r="F25" s="468"/>
      <c r="G25" s="468"/>
      <c r="H25" s="468"/>
      <c r="I25" s="468"/>
      <c r="J25" s="468"/>
      <c r="K25" s="468"/>
      <c r="L25" s="468"/>
      <c r="M25" s="468"/>
      <c r="N25" s="468"/>
      <c r="O25" s="468"/>
      <c r="P25" s="468"/>
    </row>
    <row r="27" spans="1:25">
      <c r="A27" s="45"/>
      <c r="B27" s="289"/>
      <c r="C27" s="290"/>
      <c r="D27" s="290"/>
      <c r="E27" s="290"/>
      <c r="F27" s="290"/>
      <c r="G27" s="290"/>
      <c r="H27" s="290"/>
      <c r="I27" s="290"/>
      <c r="J27" s="290"/>
      <c r="K27" s="290"/>
      <c r="L27" s="290"/>
      <c r="M27" s="290"/>
      <c r="N27" s="290"/>
      <c r="O27" s="290"/>
      <c r="P27" s="290"/>
    </row>
    <row r="28" spans="1:25">
      <c r="A28" s="45"/>
      <c r="B28" s="291"/>
      <c r="C28" s="290"/>
      <c r="D28" s="290"/>
      <c r="E28" s="290"/>
      <c r="F28" s="290"/>
      <c r="G28" s="290"/>
      <c r="H28" s="290"/>
      <c r="I28" s="290"/>
      <c r="J28" s="290"/>
      <c r="K28" s="290"/>
      <c r="L28" s="290"/>
      <c r="M28" s="290"/>
      <c r="N28" s="290"/>
      <c r="O28" s="290"/>
      <c r="P28" s="290"/>
    </row>
    <row r="29" spans="1:25">
      <c r="A29" s="45"/>
      <c r="B29" s="291"/>
      <c r="C29" s="290"/>
      <c r="D29" s="290"/>
      <c r="E29" s="290"/>
      <c r="F29" s="290"/>
      <c r="G29" s="290"/>
      <c r="H29" s="290"/>
      <c r="I29" s="290"/>
      <c r="J29" s="290"/>
      <c r="K29" s="290"/>
      <c r="L29" s="290"/>
      <c r="M29" s="290"/>
      <c r="N29" s="290"/>
      <c r="O29" s="290"/>
      <c r="P29" s="290"/>
    </row>
    <row r="30" spans="1:25">
      <c r="A30" s="45"/>
      <c r="B30" s="291"/>
      <c r="C30" s="290"/>
      <c r="D30" s="290"/>
      <c r="E30" s="290"/>
      <c r="F30" s="290"/>
      <c r="G30" s="290"/>
      <c r="H30" s="290"/>
      <c r="I30" s="290"/>
      <c r="J30" s="290"/>
      <c r="K30" s="290"/>
      <c r="L30" s="290"/>
      <c r="M30" s="290"/>
      <c r="N30" s="290"/>
      <c r="O30" s="290"/>
      <c r="P30" s="290"/>
    </row>
    <row r="31" spans="1:25">
      <c r="A31" s="45"/>
      <c r="B31" s="291"/>
      <c r="C31" s="290"/>
      <c r="D31" s="290"/>
      <c r="E31" s="290"/>
      <c r="F31" s="290"/>
      <c r="G31" s="290"/>
      <c r="H31" s="290"/>
      <c r="I31" s="290"/>
      <c r="J31" s="290"/>
      <c r="K31" s="290"/>
      <c r="L31" s="290"/>
      <c r="M31" s="290"/>
      <c r="N31" s="290"/>
      <c r="O31" s="290"/>
      <c r="P31" s="290"/>
    </row>
    <row r="32" spans="1:25">
      <c r="A32" s="64"/>
      <c r="B32" s="292"/>
      <c r="C32" s="290"/>
      <c r="D32" s="290"/>
      <c r="E32" s="290"/>
      <c r="F32" s="290"/>
      <c r="G32" s="290"/>
      <c r="H32" s="290"/>
      <c r="I32" s="290"/>
      <c r="J32" s="290"/>
      <c r="K32" s="290"/>
      <c r="L32" s="290"/>
      <c r="M32" s="290"/>
      <c r="N32" s="290"/>
      <c r="O32" s="290"/>
      <c r="P32" s="290"/>
    </row>
    <row r="33" spans="3:16">
      <c r="C33" s="290"/>
      <c r="D33" s="290"/>
      <c r="E33" s="290"/>
      <c r="F33" s="290"/>
      <c r="G33" s="290"/>
      <c r="H33" s="290"/>
      <c r="I33" s="290"/>
      <c r="J33" s="290"/>
      <c r="K33" s="290"/>
      <c r="L33" s="290"/>
      <c r="M33" s="290"/>
      <c r="N33" s="290"/>
      <c r="O33" s="290"/>
      <c r="P33" s="290"/>
    </row>
    <row r="34" spans="3:16">
      <c r="C34" s="290"/>
      <c r="D34" s="290"/>
      <c r="E34" s="290"/>
      <c r="F34" s="290"/>
      <c r="G34" s="290"/>
      <c r="H34" s="290"/>
      <c r="I34" s="290"/>
      <c r="J34" s="290"/>
      <c r="K34" s="290"/>
      <c r="L34" s="290"/>
      <c r="M34" s="290"/>
      <c r="N34" s="290"/>
      <c r="O34" s="290"/>
      <c r="P34" s="290"/>
    </row>
    <row r="35" spans="3:16">
      <c r="C35" s="290"/>
      <c r="D35" s="290"/>
      <c r="E35" s="290"/>
      <c r="F35" s="290"/>
      <c r="G35" s="290"/>
      <c r="H35" s="290"/>
      <c r="I35" s="290"/>
      <c r="J35" s="290"/>
      <c r="K35" s="290"/>
      <c r="L35" s="290"/>
      <c r="M35" s="290"/>
      <c r="N35" s="290"/>
      <c r="O35" s="290"/>
      <c r="P35" s="290"/>
    </row>
    <row r="36" spans="3:16">
      <c r="C36" s="290"/>
      <c r="D36" s="290"/>
      <c r="E36" s="290"/>
      <c r="F36" s="290"/>
      <c r="G36" s="290"/>
      <c r="H36" s="290"/>
      <c r="I36" s="290"/>
      <c r="J36" s="290"/>
      <c r="K36" s="290"/>
      <c r="L36" s="290"/>
      <c r="M36" s="290"/>
      <c r="N36" s="290"/>
      <c r="O36" s="290"/>
      <c r="P36" s="290"/>
    </row>
    <row r="37" spans="3:16">
      <c r="C37" s="290"/>
      <c r="D37" s="290"/>
      <c r="E37" s="290"/>
      <c r="F37" s="290"/>
      <c r="G37" s="290"/>
      <c r="H37" s="290"/>
      <c r="I37" s="290"/>
      <c r="J37" s="290"/>
      <c r="K37" s="290"/>
      <c r="L37" s="290"/>
      <c r="M37" s="290"/>
      <c r="N37" s="290"/>
      <c r="O37" s="290"/>
      <c r="P37" s="290"/>
    </row>
    <row r="38" spans="3:16">
      <c r="C38" s="290"/>
      <c r="D38" s="290"/>
      <c r="E38" s="290"/>
      <c r="F38" s="290"/>
      <c r="G38" s="290"/>
      <c r="H38" s="290"/>
      <c r="I38" s="290"/>
      <c r="J38" s="290"/>
      <c r="K38" s="290"/>
      <c r="L38" s="290"/>
      <c r="M38" s="290"/>
      <c r="N38" s="290"/>
      <c r="O38" s="290"/>
      <c r="P38" s="290"/>
    </row>
    <row r="39" spans="3:16">
      <c r="C39" s="290"/>
      <c r="D39" s="290"/>
      <c r="E39" s="290"/>
      <c r="F39" s="290"/>
      <c r="G39" s="290"/>
      <c r="H39" s="290"/>
      <c r="I39" s="290"/>
      <c r="J39" s="290"/>
      <c r="K39" s="290"/>
      <c r="L39" s="290"/>
      <c r="M39" s="290"/>
      <c r="N39" s="290"/>
      <c r="O39" s="290"/>
      <c r="P39" s="290"/>
    </row>
    <row r="40" spans="3:16">
      <c r="C40" s="290"/>
      <c r="D40" s="290"/>
      <c r="E40" s="290"/>
      <c r="F40" s="290"/>
      <c r="G40" s="290"/>
      <c r="H40" s="290"/>
      <c r="I40" s="290"/>
      <c r="J40" s="290"/>
      <c r="K40" s="290"/>
      <c r="L40" s="290"/>
      <c r="M40" s="290"/>
      <c r="N40" s="290"/>
      <c r="O40" s="290"/>
      <c r="P40" s="290"/>
    </row>
    <row r="41" spans="3:16">
      <c r="C41" s="290"/>
      <c r="D41" s="290"/>
      <c r="E41" s="290"/>
      <c r="F41" s="290"/>
      <c r="G41" s="290"/>
      <c r="H41" s="290"/>
      <c r="I41" s="290"/>
      <c r="J41" s="290"/>
      <c r="K41" s="290"/>
      <c r="L41" s="290"/>
      <c r="M41" s="290"/>
      <c r="N41" s="290"/>
      <c r="O41" s="290"/>
      <c r="P41" s="290"/>
    </row>
    <row r="42" spans="3:16">
      <c r="C42" s="290"/>
      <c r="D42" s="290"/>
      <c r="E42" s="290"/>
      <c r="F42" s="290"/>
      <c r="G42" s="290"/>
      <c r="H42" s="290"/>
      <c r="I42" s="290"/>
      <c r="J42" s="290"/>
      <c r="K42" s="290"/>
      <c r="L42" s="290"/>
      <c r="M42" s="290"/>
      <c r="N42" s="290"/>
      <c r="O42" s="290"/>
      <c r="P42" s="290"/>
    </row>
    <row r="43" spans="3:16">
      <c r="C43" s="290"/>
      <c r="D43" s="290"/>
      <c r="E43" s="290"/>
      <c r="F43" s="290"/>
      <c r="G43" s="290"/>
      <c r="H43" s="290"/>
      <c r="I43" s="290"/>
      <c r="J43" s="290"/>
      <c r="K43" s="290"/>
      <c r="L43" s="290"/>
      <c r="M43" s="290"/>
      <c r="N43" s="290"/>
      <c r="O43" s="290"/>
      <c r="P43" s="290"/>
    </row>
    <row r="44" spans="3:16">
      <c r="C44" s="290"/>
      <c r="D44" s="290"/>
      <c r="E44" s="290"/>
      <c r="F44" s="290"/>
      <c r="G44" s="290"/>
      <c r="H44" s="290"/>
      <c r="I44" s="290"/>
      <c r="J44" s="290"/>
      <c r="K44" s="290"/>
      <c r="L44" s="290"/>
      <c r="M44" s="290"/>
      <c r="N44" s="290"/>
      <c r="O44" s="290"/>
      <c r="P44" s="290"/>
    </row>
    <row r="45" spans="3:16">
      <c r="C45" s="290"/>
      <c r="D45" s="290"/>
      <c r="E45" s="290"/>
      <c r="F45" s="290"/>
      <c r="G45" s="290"/>
      <c r="H45" s="290"/>
      <c r="I45" s="290"/>
      <c r="J45" s="290"/>
      <c r="K45" s="290"/>
      <c r="L45" s="290"/>
      <c r="M45" s="290"/>
      <c r="N45" s="290"/>
      <c r="O45" s="290"/>
      <c r="P45" s="290"/>
    </row>
    <row r="46" spans="3:16">
      <c r="C46" s="290"/>
      <c r="D46" s="290"/>
      <c r="E46" s="290"/>
      <c r="F46" s="290"/>
      <c r="G46" s="290"/>
      <c r="H46" s="290"/>
      <c r="I46" s="290"/>
      <c r="J46" s="290"/>
      <c r="K46" s="290"/>
      <c r="L46" s="290"/>
      <c r="M46" s="290"/>
      <c r="N46" s="290"/>
      <c r="O46" s="290"/>
      <c r="P46" s="290"/>
    </row>
    <row r="47" spans="3:16">
      <c r="C47" s="290"/>
      <c r="D47" s="290"/>
      <c r="E47" s="290"/>
      <c r="F47" s="290"/>
      <c r="G47" s="290"/>
      <c r="H47" s="290"/>
      <c r="I47" s="290"/>
      <c r="J47" s="290"/>
      <c r="K47" s="290"/>
      <c r="L47" s="290"/>
      <c r="M47" s="290"/>
      <c r="N47" s="290"/>
      <c r="O47" s="290"/>
      <c r="P47" s="290"/>
    </row>
    <row r="48" spans="3:16">
      <c r="C48" s="290"/>
      <c r="D48" s="290"/>
      <c r="E48" s="290"/>
      <c r="F48" s="290"/>
      <c r="G48" s="290"/>
      <c r="H48" s="290"/>
      <c r="I48" s="290"/>
      <c r="J48" s="290"/>
      <c r="K48" s="290"/>
      <c r="L48" s="290"/>
      <c r="M48" s="290"/>
      <c r="N48" s="290"/>
      <c r="O48" s="290"/>
      <c r="P48" s="290"/>
    </row>
    <row r="49" spans="3:16">
      <c r="C49" s="290"/>
      <c r="D49" s="290"/>
      <c r="E49" s="290"/>
      <c r="F49" s="290"/>
      <c r="G49" s="290"/>
      <c r="H49" s="290"/>
      <c r="I49" s="290"/>
      <c r="J49" s="290"/>
      <c r="K49" s="290"/>
      <c r="L49" s="290"/>
      <c r="M49" s="290"/>
      <c r="N49" s="290"/>
      <c r="O49" s="290"/>
      <c r="P49" s="290"/>
    </row>
    <row r="50" spans="3:16">
      <c r="C50" s="290"/>
      <c r="D50" s="290"/>
      <c r="E50" s="290"/>
      <c r="F50" s="290"/>
      <c r="G50" s="290"/>
      <c r="H50" s="290"/>
      <c r="I50" s="290"/>
      <c r="J50" s="290"/>
      <c r="K50" s="290"/>
      <c r="L50" s="290"/>
      <c r="M50" s="290"/>
      <c r="N50" s="290"/>
      <c r="O50" s="290"/>
      <c r="P50" s="290"/>
    </row>
    <row r="51" spans="3:16">
      <c r="C51" s="290"/>
      <c r="D51" s="290"/>
      <c r="E51" s="290"/>
      <c r="F51" s="290"/>
      <c r="G51" s="290"/>
      <c r="H51" s="290"/>
      <c r="I51" s="290"/>
      <c r="J51" s="290"/>
      <c r="K51" s="290"/>
      <c r="L51" s="290"/>
      <c r="M51" s="290"/>
      <c r="N51" s="290"/>
      <c r="O51" s="290"/>
      <c r="P51" s="290"/>
    </row>
  </sheetData>
  <mergeCells count="9">
    <mergeCell ref="A23:P23"/>
    <mergeCell ref="A24:P24"/>
    <mergeCell ref="A25:P25"/>
    <mergeCell ref="N3:P3"/>
    <mergeCell ref="B3:B4"/>
    <mergeCell ref="C3:F3"/>
    <mergeCell ref="G3:J3"/>
    <mergeCell ref="K3:M3"/>
    <mergeCell ref="A3:A4"/>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6"/>
  <sheetViews>
    <sheetView zoomScale="95" zoomScaleNormal="95" workbookViewId="0"/>
  </sheetViews>
  <sheetFormatPr baseColWidth="10" defaultColWidth="10.625" defaultRowHeight="12.75"/>
  <cols>
    <col min="1" max="1" width="8.625" style="1" customWidth="1"/>
    <col min="2" max="3" width="12.625" style="297" customWidth="1"/>
    <col min="4" max="4" width="18.625" style="297" customWidth="1"/>
    <col min="5" max="7" width="12.625" style="297" customWidth="1"/>
    <col min="8" max="9" width="18.625" style="297" customWidth="1"/>
    <col min="10" max="11" width="12.625" style="297" customWidth="1"/>
    <col min="12" max="16384" width="10.625" style="1"/>
  </cols>
  <sheetData>
    <row r="1" spans="1:11">
      <c r="A1" s="32" t="s">
        <v>128</v>
      </c>
    </row>
    <row r="2" spans="1:11">
      <c r="B2" s="200"/>
      <c r="K2" s="298" t="s">
        <v>17</v>
      </c>
    </row>
    <row r="3" spans="1:11" ht="30" customHeight="1">
      <c r="A3" s="293" t="s">
        <v>175</v>
      </c>
      <c r="B3" s="294" t="s">
        <v>66</v>
      </c>
      <c r="C3" s="294" t="s">
        <v>67</v>
      </c>
      <c r="D3" s="294" t="s">
        <v>68</v>
      </c>
      <c r="E3" s="294" t="s">
        <v>69</v>
      </c>
      <c r="F3" s="294" t="s">
        <v>70</v>
      </c>
      <c r="G3" s="294" t="s">
        <v>71</v>
      </c>
      <c r="H3" s="294" t="s">
        <v>72</v>
      </c>
      <c r="I3" s="294" t="s">
        <v>176</v>
      </c>
      <c r="J3" s="294" t="s">
        <v>73</v>
      </c>
      <c r="K3" s="294" t="s">
        <v>74</v>
      </c>
    </row>
    <row r="4" spans="1:11">
      <c r="A4" s="295">
        <v>15</v>
      </c>
      <c r="B4" s="299">
        <v>0</v>
      </c>
      <c r="C4" s="299">
        <v>0.6</v>
      </c>
      <c r="D4" s="299">
        <v>0</v>
      </c>
      <c r="E4" s="299">
        <v>3.6</v>
      </c>
      <c r="F4" s="299">
        <v>0</v>
      </c>
      <c r="G4" s="299">
        <v>4</v>
      </c>
      <c r="H4" s="299">
        <v>0</v>
      </c>
      <c r="I4" s="299">
        <v>91.8</v>
      </c>
      <c r="J4" s="299">
        <v>0</v>
      </c>
      <c r="K4" s="299">
        <v>0</v>
      </c>
    </row>
    <row r="5" spans="1:11">
      <c r="A5" s="295">
        <v>16</v>
      </c>
      <c r="B5" s="299">
        <v>0.1</v>
      </c>
      <c r="C5" s="299">
        <v>2</v>
      </c>
      <c r="D5" s="299">
        <v>0</v>
      </c>
      <c r="E5" s="299">
        <v>6.2</v>
      </c>
      <c r="F5" s="299">
        <v>0.1</v>
      </c>
      <c r="G5" s="299">
        <v>5.7</v>
      </c>
      <c r="H5" s="299">
        <v>0.3</v>
      </c>
      <c r="I5" s="299">
        <v>85.7</v>
      </c>
      <c r="J5" s="299">
        <v>0</v>
      </c>
      <c r="K5" s="299">
        <v>0</v>
      </c>
    </row>
    <row r="6" spans="1:11">
      <c r="A6" s="295">
        <v>17</v>
      </c>
      <c r="B6" s="299">
        <v>0.4</v>
      </c>
      <c r="C6" s="299">
        <v>3.8</v>
      </c>
      <c r="D6" s="299">
        <v>0</v>
      </c>
      <c r="E6" s="299">
        <v>9.8000000000000007</v>
      </c>
      <c r="F6" s="299">
        <v>0.5</v>
      </c>
      <c r="G6" s="299">
        <v>8</v>
      </c>
      <c r="H6" s="299">
        <v>0.2</v>
      </c>
      <c r="I6" s="299">
        <v>77.2</v>
      </c>
      <c r="J6" s="299">
        <v>0.1</v>
      </c>
      <c r="K6" s="299">
        <v>0.1</v>
      </c>
    </row>
    <row r="7" spans="1:11">
      <c r="A7" s="295">
        <v>18</v>
      </c>
      <c r="B7" s="299">
        <v>1.7</v>
      </c>
      <c r="C7" s="299">
        <v>6.9</v>
      </c>
      <c r="D7" s="299">
        <v>0.6</v>
      </c>
      <c r="E7" s="299">
        <v>20.399999999999999</v>
      </c>
      <c r="F7" s="299">
        <v>0.7</v>
      </c>
      <c r="G7" s="299">
        <v>9.3000000000000007</v>
      </c>
      <c r="H7" s="299">
        <v>0.6</v>
      </c>
      <c r="I7" s="299">
        <v>59.3</v>
      </c>
      <c r="J7" s="299">
        <v>0.5</v>
      </c>
      <c r="K7" s="299">
        <v>0.3</v>
      </c>
    </row>
    <row r="8" spans="1:11">
      <c r="A8" s="295">
        <v>19</v>
      </c>
      <c r="B8" s="299">
        <v>2.2000000000000002</v>
      </c>
      <c r="C8" s="299">
        <v>7.3</v>
      </c>
      <c r="D8" s="299">
        <v>2</v>
      </c>
      <c r="E8" s="299">
        <v>29</v>
      </c>
      <c r="F8" s="299">
        <v>0.9</v>
      </c>
      <c r="G8" s="299">
        <v>7.4</v>
      </c>
      <c r="H8" s="299">
        <v>0.8</v>
      </c>
      <c r="I8" s="299">
        <v>48.6</v>
      </c>
      <c r="J8" s="299">
        <v>0.7</v>
      </c>
      <c r="K8" s="299">
        <v>1.1000000000000001</v>
      </c>
    </row>
    <row r="9" spans="1:11">
      <c r="A9" s="295">
        <v>20</v>
      </c>
      <c r="B9" s="299">
        <v>3.3</v>
      </c>
      <c r="C9" s="299">
        <v>6.2</v>
      </c>
      <c r="D9" s="299">
        <v>3.2</v>
      </c>
      <c r="E9" s="299">
        <v>37.299999999999997</v>
      </c>
      <c r="F9" s="299">
        <v>1</v>
      </c>
      <c r="G9" s="299">
        <v>6.8</v>
      </c>
      <c r="H9" s="299">
        <v>1.1000000000000001</v>
      </c>
      <c r="I9" s="299">
        <v>38.200000000000003</v>
      </c>
      <c r="J9" s="299">
        <v>1.1000000000000001</v>
      </c>
      <c r="K9" s="299">
        <v>1.7</v>
      </c>
    </row>
    <row r="10" spans="1:11">
      <c r="A10" s="295">
        <v>21</v>
      </c>
      <c r="B10" s="299">
        <v>5</v>
      </c>
      <c r="C10" s="299">
        <v>4.7</v>
      </c>
      <c r="D10" s="299">
        <v>4</v>
      </c>
      <c r="E10" s="299">
        <v>47.1</v>
      </c>
      <c r="F10" s="299">
        <v>1</v>
      </c>
      <c r="G10" s="299">
        <v>5.7</v>
      </c>
      <c r="H10" s="299">
        <v>1.1000000000000001</v>
      </c>
      <c r="I10" s="299">
        <v>28.3</v>
      </c>
      <c r="J10" s="299">
        <v>1</v>
      </c>
      <c r="K10" s="299">
        <v>2.2999999999999998</v>
      </c>
    </row>
    <row r="11" spans="1:11">
      <c r="A11" s="295">
        <v>22</v>
      </c>
      <c r="B11" s="299">
        <v>5.8</v>
      </c>
      <c r="C11" s="299">
        <v>3.8</v>
      </c>
      <c r="D11" s="299">
        <v>4.5999999999999996</v>
      </c>
      <c r="E11" s="299">
        <v>52.5</v>
      </c>
      <c r="F11" s="299">
        <v>2</v>
      </c>
      <c r="G11" s="299">
        <v>4.8</v>
      </c>
      <c r="H11" s="299">
        <v>1.4</v>
      </c>
      <c r="I11" s="299">
        <v>21</v>
      </c>
      <c r="J11" s="299">
        <v>1.4</v>
      </c>
      <c r="K11" s="299">
        <v>2.7</v>
      </c>
    </row>
    <row r="12" spans="1:11">
      <c r="A12" s="295">
        <v>23</v>
      </c>
      <c r="B12" s="299">
        <v>7.2</v>
      </c>
      <c r="C12" s="299">
        <v>3.2</v>
      </c>
      <c r="D12" s="299">
        <v>6.4</v>
      </c>
      <c r="E12" s="299">
        <v>54.6</v>
      </c>
      <c r="F12" s="299">
        <v>2.9</v>
      </c>
      <c r="G12" s="299">
        <v>3.7</v>
      </c>
      <c r="H12" s="299">
        <v>1.5</v>
      </c>
      <c r="I12" s="299">
        <v>15</v>
      </c>
      <c r="J12" s="299">
        <v>2.7</v>
      </c>
      <c r="K12" s="299">
        <v>2.7</v>
      </c>
    </row>
    <row r="13" spans="1:11">
      <c r="A13" s="295">
        <v>24</v>
      </c>
      <c r="B13" s="299">
        <v>6.9</v>
      </c>
      <c r="C13" s="299">
        <v>3.3</v>
      </c>
      <c r="D13" s="299">
        <v>7.5</v>
      </c>
      <c r="E13" s="299">
        <v>63.4</v>
      </c>
      <c r="F13" s="299">
        <v>2.2999999999999998</v>
      </c>
      <c r="G13" s="299">
        <v>2.7</v>
      </c>
      <c r="H13" s="299">
        <v>1.1000000000000001</v>
      </c>
      <c r="I13" s="299">
        <v>8.8000000000000007</v>
      </c>
      <c r="J13" s="299">
        <v>1.9</v>
      </c>
      <c r="K13" s="299">
        <v>2.1</v>
      </c>
    </row>
    <row r="14" spans="1:11">
      <c r="A14" s="295">
        <v>25</v>
      </c>
      <c r="B14" s="299">
        <v>5.7</v>
      </c>
      <c r="C14" s="299">
        <v>1.8</v>
      </c>
      <c r="D14" s="299">
        <v>7.9</v>
      </c>
      <c r="E14" s="299">
        <v>68.900000000000006</v>
      </c>
      <c r="F14" s="299">
        <v>2.7</v>
      </c>
      <c r="G14" s="299">
        <v>2</v>
      </c>
      <c r="H14" s="299">
        <v>1.2</v>
      </c>
      <c r="I14" s="299">
        <v>6.6</v>
      </c>
      <c r="J14" s="299">
        <v>1.2</v>
      </c>
      <c r="K14" s="299">
        <v>2.1</v>
      </c>
    </row>
    <row r="15" spans="1:11">
      <c r="A15" s="295">
        <v>26</v>
      </c>
      <c r="B15" s="299">
        <v>6.4</v>
      </c>
      <c r="C15" s="299">
        <v>1.6</v>
      </c>
      <c r="D15" s="299">
        <v>9.1999999999999993</v>
      </c>
      <c r="E15" s="299">
        <v>68.5</v>
      </c>
      <c r="F15" s="299">
        <v>2.2000000000000002</v>
      </c>
      <c r="G15" s="299">
        <v>2.2000000000000002</v>
      </c>
      <c r="H15" s="299">
        <v>1.5</v>
      </c>
      <c r="I15" s="299">
        <v>5.4</v>
      </c>
      <c r="J15" s="299">
        <v>1</v>
      </c>
      <c r="K15" s="299">
        <v>2</v>
      </c>
    </row>
    <row r="16" spans="1:11">
      <c r="A16" s="295">
        <v>27</v>
      </c>
      <c r="B16" s="299">
        <v>6</v>
      </c>
      <c r="C16" s="299">
        <v>1.4</v>
      </c>
      <c r="D16" s="299">
        <v>7</v>
      </c>
      <c r="E16" s="299">
        <v>71.3</v>
      </c>
      <c r="F16" s="299">
        <v>2.8</v>
      </c>
      <c r="G16" s="299">
        <v>1.9</v>
      </c>
      <c r="H16" s="299">
        <v>1.2</v>
      </c>
      <c r="I16" s="299">
        <v>5.4</v>
      </c>
      <c r="J16" s="299">
        <v>1.3</v>
      </c>
      <c r="K16" s="299">
        <v>1.8</v>
      </c>
    </row>
    <row r="17" spans="1:11">
      <c r="A17" s="295">
        <v>28</v>
      </c>
      <c r="B17" s="299">
        <v>5.5</v>
      </c>
      <c r="C17" s="299">
        <v>1.1000000000000001</v>
      </c>
      <c r="D17" s="299">
        <v>7.9</v>
      </c>
      <c r="E17" s="299">
        <v>71.099999999999994</v>
      </c>
      <c r="F17" s="299">
        <v>2.6</v>
      </c>
      <c r="G17" s="299">
        <v>2</v>
      </c>
      <c r="H17" s="299">
        <v>1.3</v>
      </c>
      <c r="I17" s="299">
        <v>4.8</v>
      </c>
      <c r="J17" s="299">
        <v>1.6</v>
      </c>
      <c r="K17" s="299">
        <v>2.1</v>
      </c>
    </row>
    <row r="18" spans="1:11">
      <c r="A18" s="295">
        <v>29</v>
      </c>
      <c r="B18" s="299">
        <v>5</v>
      </c>
      <c r="C18" s="299">
        <v>0.9</v>
      </c>
      <c r="D18" s="299">
        <v>8.1</v>
      </c>
      <c r="E18" s="299">
        <v>71.3</v>
      </c>
      <c r="F18" s="299">
        <v>2.5</v>
      </c>
      <c r="G18" s="299">
        <v>1.9</v>
      </c>
      <c r="H18" s="299">
        <v>1.2</v>
      </c>
      <c r="I18" s="299">
        <v>5</v>
      </c>
      <c r="J18" s="299">
        <v>2.1</v>
      </c>
      <c r="K18" s="299">
        <v>2.1</v>
      </c>
    </row>
    <row r="19" spans="1:11">
      <c r="A19" s="295">
        <v>30</v>
      </c>
      <c r="B19" s="299">
        <v>4.7</v>
      </c>
      <c r="C19" s="299">
        <v>0.9</v>
      </c>
      <c r="D19" s="299">
        <v>8.8000000000000007</v>
      </c>
      <c r="E19" s="299">
        <v>71.7</v>
      </c>
      <c r="F19" s="299">
        <v>1.8</v>
      </c>
      <c r="G19" s="299">
        <v>1.7</v>
      </c>
      <c r="H19" s="299">
        <v>1.4</v>
      </c>
      <c r="I19" s="299">
        <v>4.5999999999999996</v>
      </c>
      <c r="J19" s="299">
        <v>1.5</v>
      </c>
      <c r="K19" s="299">
        <v>2.9</v>
      </c>
    </row>
    <row r="20" spans="1:11">
      <c r="A20" s="295">
        <v>31</v>
      </c>
      <c r="B20" s="299">
        <v>4.7</v>
      </c>
      <c r="C20" s="299">
        <v>0.8</v>
      </c>
      <c r="D20" s="299">
        <v>7.5</v>
      </c>
      <c r="E20" s="299">
        <v>73.400000000000006</v>
      </c>
      <c r="F20" s="299">
        <v>2.7</v>
      </c>
      <c r="G20" s="299">
        <v>1.5</v>
      </c>
      <c r="H20" s="299">
        <v>1.5</v>
      </c>
      <c r="I20" s="299">
        <v>4.2</v>
      </c>
      <c r="J20" s="299">
        <v>1.5</v>
      </c>
      <c r="K20" s="299">
        <v>2.1</v>
      </c>
    </row>
    <row r="21" spans="1:11">
      <c r="A21" s="295">
        <v>32</v>
      </c>
      <c r="B21" s="299">
        <v>4.8</v>
      </c>
      <c r="C21" s="299">
        <v>0.7</v>
      </c>
      <c r="D21" s="299">
        <v>8</v>
      </c>
      <c r="E21" s="299">
        <v>72.3</v>
      </c>
      <c r="F21" s="299">
        <v>3</v>
      </c>
      <c r="G21" s="299">
        <v>1.7</v>
      </c>
      <c r="H21" s="299">
        <v>1.2</v>
      </c>
      <c r="I21" s="299">
        <v>4.9000000000000004</v>
      </c>
      <c r="J21" s="299">
        <v>1.1000000000000001</v>
      </c>
      <c r="K21" s="299">
        <v>2.4</v>
      </c>
    </row>
    <row r="22" spans="1:11">
      <c r="A22" s="295">
        <v>33</v>
      </c>
      <c r="B22" s="299">
        <v>3.2</v>
      </c>
      <c r="C22" s="299">
        <v>1</v>
      </c>
      <c r="D22" s="299">
        <v>8.4</v>
      </c>
      <c r="E22" s="299">
        <v>72.7</v>
      </c>
      <c r="F22" s="299">
        <v>2.4</v>
      </c>
      <c r="G22" s="299">
        <v>1.8</v>
      </c>
      <c r="H22" s="299">
        <v>1.3</v>
      </c>
      <c r="I22" s="299">
        <v>5.9</v>
      </c>
      <c r="J22" s="299">
        <v>1.3</v>
      </c>
      <c r="K22" s="299">
        <v>2.1</v>
      </c>
    </row>
    <row r="23" spans="1:11">
      <c r="A23" s="295">
        <v>34</v>
      </c>
      <c r="B23" s="299">
        <v>3.3</v>
      </c>
      <c r="C23" s="299">
        <v>0.9</v>
      </c>
      <c r="D23" s="299">
        <v>8.6999999999999993</v>
      </c>
      <c r="E23" s="299">
        <v>72</v>
      </c>
      <c r="F23" s="299">
        <v>2.6</v>
      </c>
      <c r="G23" s="299">
        <v>1.5</v>
      </c>
      <c r="H23" s="299">
        <v>1.4</v>
      </c>
      <c r="I23" s="299">
        <v>5.4</v>
      </c>
      <c r="J23" s="299">
        <v>1.6</v>
      </c>
      <c r="K23" s="299">
        <v>2.8</v>
      </c>
    </row>
    <row r="24" spans="1:11">
      <c r="A24" s="295">
        <v>35</v>
      </c>
      <c r="B24" s="299">
        <v>3.2</v>
      </c>
      <c r="C24" s="299">
        <v>0.6</v>
      </c>
      <c r="D24" s="299">
        <v>9</v>
      </c>
      <c r="E24" s="299">
        <v>74.8</v>
      </c>
      <c r="F24" s="299">
        <v>1.8</v>
      </c>
      <c r="G24" s="299">
        <v>1.5</v>
      </c>
      <c r="H24" s="299">
        <v>1.1000000000000001</v>
      </c>
      <c r="I24" s="299">
        <v>4.5999999999999996</v>
      </c>
      <c r="J24" s="299">
        <v>1.5</v>
      </c>
      <c r="K24" s="299">
        <v>2</v>
      </c>
    </row>
    <row r="25" spans="1:11">
      <c r="A25" s="295">
        <v>36</v>
      </c>
      <c r="B25" s="299">
        <v>4.2</v>
      </c>
      <c r="C25" s="299">
        <v>0.6</v>
      </c>
      <c r="D25" s="299">
        <v>7.7</v>
      </c>
      <c r="E25" s="299">
        <v>74.900000000000006</v>
      </c>
      <c r="F25" s="299">
        <v>2.2000000000000002</v>
      </c>
      <c r="G25" s="299">
        <v>1.4</v>
      </c>
      <c r="H25" s="299">
        <v>0.8</v>
      </c>
      <c r="I25" s="299">
        <v>5</v>
      </c>
      <c r="J25" s="299">
        <v>1.1000000000000001</v>
      </c>
      <c r="K25" s="299">
        <v>2.1</v>
      </c>
    </row>
    <row r="26" spans="1:11">
      <c r="A26" s="295">
        <v>37</v>
      </c>
      <c r="B26" s="299">
        <v>3.6</v>
      </c>
      <c r="C26" s="299">
        <v>0.5</v>
      </c>
      <c r="D26" s="299">
        <v>9.1999999999999993</v>
      </c>
      <c r="E26" s="299">
        <v>74.2</v>
      </c>
      <c r="F26" s="299">
        <v>2.2000000000000002</v>
      </c>
      <c r="G26" s="299">
        <v>1.7</v>
      </c>
      <c r="H26" s="299">
        <v>1.1000000000000001</v>
      </c>
      <c r="I26" s="299">
        <v>4.2</v>
      </c>
      <c r="J26" s="299">
        <v>1</v>
      </c>
      <c r="K26" s="299">
        <v>2.2999999999999998</v>
      </c>
    </row>
    <row r="27" spans="1:11">
      <c r="A27" s="295">
        <v>38</v>
      </c>
      <c r="B27" s="299">
        <v>3.3</v>
      </c>
      <c r="C27" s="299">
        <v>0.5</v>
      </c>
      <c r="D27" s="299">
        <v>7.6</v>
      </c>
      <c r="E27" s="299">
        <v>75.2</v>
      </c>
      <c r="F27" s="299">
        <v>2.5</v>
      </c>
      <c r="G27" s="299">
        <v>1.4</v>
      </c>
      <c r="H27" s="299">
        <v>1.1000000000000001</v>
      </c>
      <c r="I27" s="299">
        <v>4.7</v>
      </c>
      <c r="J27" s="299">
        <v>1.6</v>
      </c>
      <c r="K27" s="299">
        <v>2.1</v>
      </c>
    </row>
    <row r="28" spans="1:11">
      <c r="A28" s="295">
        <v>39</v>
      </c>
      <c r="B28" s="299">
        <v>3.7</v>
      </c>
      <c r="C28" s="299">
        <v>0.8</v>
      </c>
      <c r="D28" s="299">
        <v>7.6</v>
      </c>
      <c r="E28" s="299">
        <v>75.400000000000006</v>
      </c>
      <c r="F28" s="299">
        <v>1.9</v>
      </c>
      <c r="G28" s="299">
        <v>1.4</v>
      </c>
      <c r="H28" s="299">
        <v>1.5</v>
      </c>
      <c r="I28" s="299">
        <v>4.9000000000000004</v>
      </c>
      <c r="J28" s="299">
        <v>1</v>
      </c>
      <c r="K28" s="299">
        <v>1.8</v>
      </c>
    </row>
    <row r="29" spans="1:11">
      <c r="A29" s="295">
        <v>40</v>
      </c>
      <c r="B29" s="299">
        <v>4.2</v>
      </c>
      <c r="C29" s="299">
        <v>0.8</v>
      </c>
      <c r="D29" s="299">
        <v>8</v>
      </c>
      <c r="E29" s="299">
        <v>73.900000000000006</v>
      </c>
      <c r="F29" s="299">
        <v>2</v>
      </c>
      <c r="G29" s="299">
        <v>1.8</v>
      </c>
      <c r="H29" s="299">
        <v>0.7</v>
      </c>
      <c r="I29" s="299">
        <v>5</v>
      </c>
      <c r="J29" s="299">
        <v>1.4</v>
      </c>
      <c r="K29" s="299">
        <v>2.2000000000000002</v>
      </c>
    </row>
    <row r="30" spans="1:11">
      <c r="A30" s="295">
        <v>41</v>
      </c>
      <c r="B30" s="299">
        <v>3.7</v>
      </c>
      <c r="C30" s="299">
        <v>0.8</v>
      </c>
      <c r="D30" s="299">
        <v>7.7</v>
      </c>
      <c r="E30" s="299">
        <v>74.8</v>
      </c>
      <c r="F30" s="299">
        <v>1.6</v>
      </c>
      <c r="G30" s="299">
        <v>1.2</v>
      </c>
      <c r="H30" s="299">
        <v>1.1000000000000001</v>
      </c>
      <c r="I30" s="299">
        <v>5.0999999999999996</v>
      </c>
      <c r="J30" s="299">
        <v>1.3</v>
      </c>
      <c r="K30" s="299">
        <v>2.6</v>
      </c>
    </row>
    <row r="31" spans="1:11">
      <c r="A31" s="295">
        <v>42</v>
      </c>
      <c r="B31" s="299">
        <v>3.6</v>
      </c>
      <c r="C31" s="299">
        <v>0.5</v>
      </c>
      <c r="D31" s="299">
        <v>7.6</v>
      </c>
      <c r="E31" s="299">
        <v>75.400000000000006</v>
      </c>
      <c r="F31" s="299">
        <v>2</v>
      </c>
      <c r="G31" s="299">
        <v>1.6</v>
      </c>
      <c r="H31" s="299">
        <v>1</v>
      </c>
      <c r="I31" s="299">
        <v>5.5</v>
      </c>
      <c r="J31" s="299">
        <v>1.1000000000000001</v>
      </c>
      <c r="K31" s="299">
        <v>1.7</v>
      </c>
    </row>
    <row r="32" spans="1:11">
      <c r="A32" s="295">
        <v>43</v>
      </c>
      <c r="B32" s="299">
        <v>3.6</v>
      </c>
      <c r="C32" s="299">
        <v>0.6</v>
      </c>
      <c r="D32" s="299">
        <v>9.1999999999999993</v>
      </c>
      <c r="E32" s="299">
        <v>74.099999999999994</v>
      </c>
      <c r="F32" s="299">
        <v>2.4</v>
      </c>
      <c r="G32" s="299">
        <v>1.3</v>
      </c>
      <c r="H32" s="299">
        <v>1.1000000000000001</v>
      </c>
      <c r="I32" s="299">
        <v>5</v>
      </c>
      <c r="J32" s="299">
        <v>0.9</v>
      </c>
      <c r="K32" s="299">
        <v>1.8</v>
      </c>
    </row>
    <row r="33" spans="1:11">
      <c r="A33" s="295">
        <v>44</v>
      </c>
      <c r="B33" s="299">
        <v>3.5</v>
      </c>
      <c r="C33" s="299">
        <v>0.6</v>
      </c>
      <c r="D33" s="299">
        <v>8.3000000000000007</v>
      </c>
      <c r="E33" s="299">
        <v>74.599999999999994</v>
      </c>
      <c r="F33" s="299">
        <v>2.1</v>
      </c>
      <c r="G33" s="299">
        <v>1.3</v>
      </c>
      <c r="H33" s="299">
        <v>1.1000000000000001</v>
      </c>
      <c r="I33" s="299">
        <v>5.3</v>
      </c>
      <c r="J33" s="299">
        <v>1</v>
      </c>
      <c r="K33" s="299">
        <v>2.1</v>
      </c>
    </row>
    <row r="34" spans="1:11">
      <c r="A34" s="295">
        <v>45</v>
      </c>
      <c r="B34" s="299">
        <v>3.5</v>
      </c>
      <c r="C34" s="299">
        <v>0.7</v>
      </c>
      <c r="D34" s="299">
        <v>7.4</v>
      </c>
      <c r="E34" s="299">
        <v>75.599999999999994</v>
      </c>
      <c r="F34" s="299">
        <v>2.1</v>
      </c>
      <c r="G34" s="299">
        <v>1.3</v>
      </c>
      <c r="H34" s="299">
        <v>1.2</v>
      </c>
      <c r="I34" s="299">
        <v>5.3</v>
      </c>
      <c r="J34" s="299">
        <v>1.1000000000000001</v>
      </c>
      <c r="K34" s="299">
        <v>1.7</v>
      </c>
    </row>
    <row r="35" spans="1:11">
      <c r="A35" s="295">
        <v>46</v>
      </c>
      <c r="B35" s="299">
        <v>4.0999999999999996</v>
      </c>
      <c r="C35" s="299">
        <v>0.6</v>
      </c>
      <c r="D35" s="299">
        <v>8.1</v>
      </c>
      <c r="E35" s="299">
        <v>75.7</v>
      </c>
      <c r="F35" s="299">
        <v>2</v>
      </c>
      <c r="G35" s="299">
        <v>0.9</v>
      </c>
      <c r="H35" s="299">
        <v>1.1000000000000001</v>
      </c>
      <c r="I35" s="299">
        <v>4.8</v>
      </c>
      <c r="J35" s="299">
        <v>1</v>
      </c>
      <c r="K35" s="299">
        <v>1.6</v>
      </c>
    </row>
    <row r="36" spans="1:11">
      <c r="A36" s="295">
        <v>47</v>
      </c>
      <c r="B36" s="299">
        <v>3.6</v>
      </c>
      <c r="C36" s="299">
        <v>0.4</v>
      </c>
      <c r="D36" s="299">
        <v>7.5</v>
      </c>
      <c r="E36" s="299">
        <v>76.7</v>
      </c>
      <c r="F36" s="299">
        <v>1.6</v>
      </c>
      <c r="G36" s="299">
        <v>1.1000000000000001</v>
      </c>
      <c r="H36" s="299">
        <v>0.8</v>
      </c>
      <c r="I36" s="299">
        <v>5.7</v>
      </c>
      <c r="J36" s="299">
        <v>0.9</v>
      </c>
      <c r="K36" s="299">
        <v>1.6</v>
      </c>
    </row>
    <row r="37" spans="1:11">
      <c r="A37" s="295">
        <v>48</v>
      </c>
      <c r="B37" s="299">
        <v>3.4</v>
      </c>
      <c r="C37" s="299">
        <v>0.4</v>
      </c>
      <c r="D37" s="299">
        <v>7.6</v>
      </c>
      <c r="E37" s="299">
        <v>77.099999999999994</v>
      </c>
      <c r="F37" s="299">
        <v>1.5</v>
      </c>
      <c r="G37" s="299">
        <v>1.3</v>
      </c>
      <c r="H37" s="299">
        <v>0.8</v>
      </c>
      <c r="I37" s="299">
        <v>5.8</v>
      </c>
      <c r="J37" s="299">
        <v>0.9</v>
      </c>
      <c r="K37" s="299">
        <v>1.3</v>
      </c>
    </row>
    <row r="38" spans="1:11">
      <c r="A38" s="295">
        <v>49</v>
      </c>
      <c r="B38" s="299">
        <v>2.9</v>
      </c>
      <c r="C38" s="299">
        <v>0.5</v>
      </c>
      <c r="D38" s="299">
        <v>7</v>
      </c>
      <c r="E38" s="299">
        <v>77.8</v>
      </c>
      <c r="F38" s="299">
        <v>1.8</v>
      </c>
      <c r="G38" s="299">
        <v>0.8</v>
      </c>
      <c r="H38" s="299">
        <v>0.8</v>
      </c>
      <c r="I38" s="299">
        <v>6.4</v>
      </c>
      <c r="J38" s="299">
        <v>0.7</v>
      </c>
      <c r="K38" s="299">
        <v>1.5</v>
      </c>
    </row>
    <row r="39" spans="1:11">
      <c r="A39" s="295">
        <v>50</v>
      </c>
      <c r="B39" s="299">
        <v>3.2</v>
      </c>
      <c r="C39" s="299">
        <v>0.4</v>
      </c>
      <c r="D39" s="299">
        <v>6.9</v>
      </c>
      <c r="E39" s="299">
        <v>75.900000000000006</v>
      </c>
      <c r="F39" s="299">
        <v>2</v>
      </c>
      <c r="G39" s="299">
        <v>0.8</v>
      </c>
      <c r="H39" s="299">
        <v>1.2</v>
      </c>
      <c r="I39" s="299">
        <v>7.4</v>
      </c>
      <c r="J39" s="299">
        <v>0.8</v>
      </c>
      <c r="K39" s="299">
        <v>1.6</v>
      </c>
    </row>
    <row r="40" spans="1:11">
      <c r="A40" s="295">
        <v>51</v>
      </c>
      <c r="B40" s="299">
        <v>3.3</v>
      </c>
      <c r="C40" s="299">
        <v>0.5</v>
      </c>
      <c r="D40" s="299">
        <v>6.3</v>
      </c>
      <c r="E40" s="299">
        <v>77.900000000000006</v>
      </c>
      <c r="F40" s="299">
        <v>1.8</v>
      </c>
      <c r="G40" s="299">
        <v>1.1000000000000001</v>
      </c>
      <c r="H40" s="299">
        <v>0.8</v>
      </c>
      <c r="I40" s="299">
        <v>6.3</v>
      </c>
      <c r="J40" s="299">
        <v>0.7</v>
      </c>
      <c r="K40" s="299">
        <v>1.4</v>
      </c>
    </row>
    <row r="41" spans="1:11">
      <c r="A41" s="295">
        <v>52</v>
      </c>
      <c r="B41" s="299">
        <v>2.8</v>
      </c>
      <c r="C41" s="299">
        <v>0.6</v>
      </c>
      <c r="D41" s="299">
        <v>7</v>
      </c>
      <c r="E41" s="299">
        <v>76.3</v>
      </c>
      <c r="F41" s="299">
        <v>1.8</v>
      </c>
      <c r="G41" s="299">
        <v>1</v>
      </c>
      <c r="H41" s="299">
        <v>0.7</v>
      </c>
      <c r="I41" s="299">
        <v>7.7</v>
      </c>
      <c r="J41" s="299">
        <v>0.7</v>
      </c>
      <c r="K41" s="299">
        <v>1.4</v>
      </c>
    </row>
    <row r="42" spans="1:11">
      <c r="A42" s="295">
        <v>53</v>
      </c>
      <c r="B42" s="299">
        <v>2.9</v>
      </c>
      <c r="C42" s="299">
        <v>0.3</v>
      </c>
      <c r="D42" s="299">
        <v>6.3</v>
      </c>
      <c r="E42" s="299">
        <v>76.8</v>
      </c>
      <c r="F42" s="299">
        <v>1.8</v>
      </c>
      <c r="G42" s="299">
        <v>0.9</v>
      </c>
      <c r="H42" s="299">
        <v>0.8</v>
      </c>
      <c r="I42" s="299">
        <v>8.3000000000000007</v>
      </c>
      <c r="J42" s="299">
        <v>0.6</v>
      </c>
      <c r="K42" s="299">
        <v>1.5</v>
      </c>
    </row>
    <row r="43" spans="1:11">
      <c r="A43" s="295">
        <v>54</v>
      </c>
      <c r="B43" s="299">
        <v>3.1</v>
      </c>
      <c r="C43" s="299">
        <v>0.3</v>
      </c>
      <c r="D43" s="299">
        <v>6.5</v>
      </c>
      <c r="E43" s="299">
        <v>76.5</v>
      </c>
      <c r="F43" s="299">
        <v>1.4</v>
      </c>
      <c r="G43" s="299">
        <v>1.1000000000000001</v>
      </c>
      <c r="H43" s="299">
        <v>1.3</v>
      </c>
      <c r="I43" s="299">
        <v>7.9</v>
      </c>
      <c r="J43" s="299">
        <v>0.9</v>
      </c>
      <c r="K43" s="299">
        <v>1.1000000000000001</v>
      </c>
    </row>
    <row r="44" spans="1:11">
      <c r="A44" s="295">
        <v>55</v>
      </c>
      <c r="B44" s="299">
        <v>2.7</v>
      </c>
      <c r="C44" s="299">
        <v>0.2</v>
      </c>
      <c r="D44" s="299">
        <v>7.1</v>
      </c>
      <c r="E44" s="299">
        <v>74.099999999999994</v>
      </c>
      <c r="F44" s="299">
        <v>1.9</v>
      </c>
      <c r="G44" s="299">
        <v>0.9</v>
      </c>
      <c r="H44" s="299">
        <v>1.3</v>
      </c>
      <c r="I44" s="299">
        <v>9.9</v>
      </c>
      <c r="J44" s="299">
        <v>0.4</v>
      </c>
      <c r="K44" s="299">
        <v>1.4</v>
      </c>
    </row>
    <row r="45" spans="1:11">
      <c r="A45" s="295">
        <v>56</v>
      </c>
      <c r="B45" s="299">
        <v>2.7</v>
      </c>
      <c r="C45" s="299">
        <v>0.3</v>
      </c>
      <c r="D45" s="299">
        <v>7.7</v>
      </c>
      <c r="E45" s="299">
        <v>73.7</v>
      </c>
      <c r="F45" s="299">
        <v>1.5</v>
      </c>
      <c r="G45" s="299">
        <v>1.2</v>
      </c>
      <c r="H45" s="299">
        <v>1.6</v>
      </c>
      <c r="I45" s="299">
        <v>9.8000000000000007</v>
      </c>
      <c r="J45" s="299">
        <v>0.4</v>
      </c>
      <c r="K45" s="299">
        <v>1.3</v>
      </c>
    </row>
    <row r="46" spans="1:11">
      <c r="A46" s="295">
        <v>57</v>
      </c>
      <c r="B46" s="299">
        <v>3.6</v>
      </c>
      <c r="C46" s="299">
        <v>0.2</v>
      </c>
      <c r="D46" s="299">
        <v>6.4</v>
      </c>
      <c r="E46" s="299">
        <v>70.900000000000006</v>
      </c>
      <c r="F46" s="299">
        <v>1.4</v>
      </c>
      <c r="G46" s="299">
        <v>1</v>
      </c>
      <c r="H46" s="299">
        <v>1.8</v>
      </c>
      <c r="I46" s="299">
        <v>12.8</v>
      </c>
      <c r="J46" s="299">
        <v>0.4</v>
      </c>
      <c r="K46" s="299">
        <v>1.3</v>
      </c>
    </row>
    <row r="47" spans="1:11">
      <c r="A47" s="295">
        <v>58</v>
      </c>
      <c r="B47" s="299">
        <v>2.7</v>
      </c>
      <c r="C47" s="299">
        <v>0.3</v>
      </c>
      <c r="D47" s="299">
        <v>6.4</v>
      </c>
      <c r="E47" s="299">
        <v>69</v>
      </c>
      <c r="F47" s="299">
        <v>1.6</v>
      </c>
      <c r="G47" s="299">
        <v>1.2</v>
      </c>
      <c r="H47" s="299">
        <v>1.5</v>
      </c>
      <c r="I47" s="299">
        <v>15.5</v>
      </c>
      <c r="J47" s="299">
        <v>0.7</v>
      </c>
      <c r="K47" s="299">
        <v>1.1000000000000001</v>
      </c>
    </row>
    <row r="48" spans="1:11">
      <c r="A48" s="295">
        <v>59</v>
      </c>
      <c r="B48" s="299">
        <v>3.2</v>
      </c>
      <c r="C48" s="299">
        <v>0.3</v>
      </c>
      <c r="D48" s="299">
        <v>6.4</v>
      </c>
      <c r="E48" s="299">
        <v>65.400000000000006</v>
      </c>
      <c r="F48" s="299">
        <v>1.7</v>
      </c>
      <c r="G48" s="299">
        <v>0.9</v>
      </c>
      <c r="H48" s="299">
        <v>2.5</v>
      </c>
      <c r="I48" s="299">
        <v>18.3</v>
      </c>
      <c r="J48" s="299">
        <v>0.3</v>
      </c>
      <c r="K48" s="299">
        <v>1.1000000000000001</v>
      </c>
    </row>
    <row r="49" spans="1:11">
      <c r="A49" s="295">
        <v>60</v>
      </c>
      <c r="B49" s="299">
        <v>3.2</v>
      </c>
      <c r="C49" s="299">
        <v>0.3</v>
      </c>
      <c r="D49" s="299">
        <v>5.7</v>
      </c>
      <c r="E49" s="299">
        <v>58.3</v>
      </c>
      <c r="F49" s="299">
        <v>2.2999999999999998</v>
      </c>
      <c r="G49" s="299">
        <v>0.9</v>
      </c>
      <c r="H49" s="299">
        <v>2.8</v>
      </c>
      <c r="I49" s="299">
        <v>24.3</v>
      </c>
      <c r="J49" s="299">
        <v>0.6</v>
      </c>
      <c r="K49" s="299">
        <v>1.6</v>
      </c>
    </row>
    <row r="50" spans="1:11">
      <c r="A50" s="295">
        <v>61</v>
      </c>
      <c r="B50" s="299">
        <v>3.5</v>
      </c>
      <c r="C50" s="299">
        <v>0.2</v>
      </c>
      <c r="D50" s="299">
        <v>4.5999999999999996</v>
      </c>
      <c r="E50" s="299">
        <v>50.5</v>
      </c>
      <c r="F50" s="299">
        <v>1.5</v>
      </c>
      <c r="G50" s="299">
        <v>1</v>
      </c>
      <c r="H50" s="299">
        <v>3.5</v>
      </c>
      <c r="I50" s="299">
        <v>33.9</v>
      </c>
      <c r="J50" s="299">
        <v>0.4</v>
      </c>
      <c r="K50" s="299">
        <v>0.8</v>
      </c>
    </row>
    <row r="51" spans="1:11">
      <c r="A51" s="295">
        <v>62</v>
      </c>
      <c r="B51" s="299">
        <v>2.1</v>
      </c>
      <c r="C51" s="299">
        <v>0.3</v>
      </c>
      <c r="D51" s="299">
        <v>2.7</v>
      </c>
      <c r="E51" s="299">
        <v>37</v>
      </c>
      <c r="F51" s="299">
        <v>1.1000000000000001</v>
      </c>
      <c r="G51" s="299">
        <v>0.7</v>
      </c>
      <c r="H51" s="299">
        <v>2.1</v>
      </c>
      <c r="I51" s="299">
        <v>53.1</v>
      </c>
      <c r="J51" s="299">
        <v>0.2</v>
      </c>
      <c r="K51" s="299">
        <v>0.8</v>
      </c>
    </row>
    <row r="52" spans="1:11">
      <c r="A52" s="295">
        <v>63</v>
      </c>
      <c r="B52" s="299">
        <v>1</v>
      </c>
      <c r="C52" s="299">
        <v>0.3</v>
      </c>
      <c r="D52" s="299">
        <v>1.1000000000000001</v>
      </c>
      <c r="E52" s="299">
        <v>24.5</v>
      </c>
      <c r="F52" s="299">
        <v>0.4</v>
      </c>
      <c r="G52" s="299">
        <v>1.2</v>
      </c>
      <c r="H52" s="299">
        <v>1</v>
      </c>
      <c r="I52" s="299">
        <v>70.099999999999994</v>
      </c>
      <c r="J52" s="299">
        <v>0.1</v>
      </c>
      <c r="K52" s="299">
        <v>0.3</v>
      </c>
    </row>
    <row r="53" spans="1:11">
      <c r="A53" s="296">
        <v>64</v>
      </c>
      <c r="B53" s="300">
        <v>1.2</v>
      </c>
      <c r="C53" s="300">
        <v>0.3</v>
      </c>
      <c r="D53" s="300">
        <v>1</v>
      </c>
      <c r="E53" s="300">
        <v>20.5</v>
      </c>
      <c r="F53" s="300">
        <v>0.5</v>
      </c>
      <c r="G53" s="300">
        <v>0.9</v>
      </c>
      <c r="H53" s="300">
        <v>1.3</v>
      </c>
      <c r="I53" s="300">
        <v>73.900000000000006</v>
      </c>
      <c r="J53" s="300">
        <v>0.1</v>
      </c>
      <c r="K53" s="300">
        <v>0.3</v>
      </c>
    </row>
    <row r="54" spans="1:11">
      <c r="A54" s="68" t="s">
        <v>202</v>
      </c>
    </row>
    <row r="55" spans="1:11">
      <c r="A55" s="12" t="s">
        <v>191</v>
      </c>
    </row>
    <row r="56" spans="1:11">
      <c r="A56" s="6" t="s">
        <v>16</v>
      </c>
    </row>
  </sheetData>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0"/>
  <sheetViews>
    <sheetView zoomScaleNormal="100" workbookViewId="0"/>
  </sheetViews>
  <sheetFormatPr baseColWidth="10" defaultColWidth="10.625" defaultRowHeight="12.75"/>
  <cols>
    <col min="1" max="1" width="40.625" style="93" customWidth="1"/>
    <col min="2" max="7" width="12.625" style="93" customWidth="1"/>
    <col min="8" max="9" width="10.625" style="93" customWidth="1"/>
    <col min="10" max="16384" width="10.625" style="93"/>
  </cols>
  <sheetData>
    <row r="1" spans="1:9">
      <c r="A1" s="235" t="s">
        <v>129</v>
      </c>
    </row>
    <row r="2" spans="1:9">
      <c r="B2" s="327"/>
      <c r="C2" s="327"/>
      <c r="D2" s="327"/>
      <c r="E2" s="327"/>
      <c r="F2" s="327"/>
      <c r="G2" s="327"/>
      <c r="H2" s="327"/>
      <c r="I2" s="328" t="s">
        <v>17</v>
      </c>
    </row>
    <row r="3" spans="1:9" s="95" customFormat="1">
      <c r="A3" s="474" t="s">
        <v>18</v>
      </c>
      <c r="B3" s="475" t="s">
        <v>12</v>
      </c>
      <c r="C3" s="475"/>
      <c r="D3" s="475"/>
      <c r="E3" s="475"/>
      <c r="F3" s="475"/>
      <c r="G3" s="475"/>
      <c r="H3" s="483" t="s">
        <v>3</v>
      </c>
      <c r="I3" s="486" t="s">
        <v>12</v>
      </c>
    </row>
    <row r="4" spans="1:9" s="95" customFormat="1" ht="30" customHeight="1">
      <c r="A4" s="474"/>
      <c r="B4" s="476" t="s">
        <v>3</v>
      </c>
      <c r="C4" s="477" t="s">
        <v>177</v>
      </c>
      <c r="D4" s="478" t="s">
        <v>178</v>
      </c>
      <c r="E4" s="479" t="s">
        <v>75</v>
      </c>
      <c r="F4" s="479"/>
      <c r="G4" s="480" t="s">
        <v>76</v>
      </c>
      <c r="H4" s="484"/>
      <c r="I4" s="487"/>
    </row>
    <row r="5" spans="1:9" s="95" customFormat="1">
      <c r="A5" s="474"/>
      <c r="B5" s="476"/>
      <c r="C5" s="477"/>
      <c r="D5" s="478"/>
      <c r="E5" s="306" t="s">
        <v>77</v>
      </c>
      <c r="F5" s="306" t="s">
        <v>8</v>
      </c>
      <c r="G5" s="480"/>
      <c r="H5" s="484"/>
      <c r="I5" s="487"/>
    </row>
    <row r="6" spans="1:9" ht="30" customHeight="1">
      <c r="A6" s="474"/>
      <c r="B6" s="476"/>
      <c r="C6" s="477"/>
      <c r="D6" s="478"/>
      <c r="E6" s="481" t="s">
        <v>179</v>
      </c>
      <c r="F6" s="481"/>
      <c r="G6" s="480"/>
      <c r="H6" s="485"/>
      <c r="I6" s="488"/>
    </row>
    <row r="7" spans="1:9">
      <c r="A7" s="307" t="s">
        <v>21</v>
      </c>
      <c r="B7" s="308">
        <v>1427</v>
      </c>
      <c r="C7" s="308">
        <v>240</v>
      </c>
      <c r="D7" s="309">
        <v>99</v>
      </c>
      <c r="E7" s="309">
        <v>17</v>
      </c>
      <c r="F7" s="309">
        <v>139</v>
      </c>
      <c r="G7" s="310">
        <v>368</v>
      </c>
      <c r="H7" s="308">
        <v>2893</v>
      </c>
      <c r="I7" s="310">
        <v>2290</v>
      </c>
    </row>
    <row r="8" spans="1:9">
      <c r="A8" s="311" t="s">
        <v>22</v>
      </c>
      <c r="B8" s="229">
        <v>49</v>
      </c>
      <c r="C8" s="229" t="s">
        <v>23</v>
      </c>
      <c r="D8" s="230" t="s">
        <v>23</v>
      </c>
      <c r="E8" s="230" t="s">
        <v>23</v>
      </c>
      <c r="F8" s="230" t="s">
        <v>23</v>
      </c>
      <c r="G8" s="231" t="s">
        <v>23</v>
      </c>
      <c r="H8" s="232">
        <v>100</v>
      </c>
      <c r="I8" s="234" t="s">
        <v>23</v>
      </c>
    </row>
    <row r="9" spans="1:9">
      <c r="A9" s="250" t="s">
        <v>78</v>
      </c>
      <c r="B9" s="251">
        <v>62</v>
      </c>
      <c r="C9" s="229">
        <v>11</v>
      </c>
      <c r="D9" s="252">
        <v>4</v>
      </c>
      <c r="E9" s="252">
        <v>1</v>
      </c>
      <c r="F9" s="252">
        <v>6</v>
      </c>
      <c r="G9" s="253">
        <v>16</v>
      </c>
      <c r="H9" s="312" t="s">
        <v>23</v>
      </c>
      <c r="I9" s="313">
        <v>100</v>
      </c>
    </row>
    <row r="10" spans="1:9">
      <c r="A10" s="314" t="s">
        <v>24</v>
      </c>
      <c r="B10" s="254">
        <v>48</v>
      </c>
      <c r="C10" s="254">
        <v>48</v>
      </c>
      <c r="D10" s="255">
        <v>51</v>
      </c>
      <c r="E10" s="255">
        <v>45</v>
      </c>
      <c r="F10" s="255">
        <v>46</v>
      </c>
      <c r="G10" s="256">
        <v>50</v>
      </c>
      <c r="H10" s="308">
        <v>53</v>
      </c>
      <c r="I10" s="310">
        <v>49</v>
      </c>
    </row>
    <row r="11" spans="1:9">
      <c r="A11" s="260" t="s">
        <v>25</v>
      </c>
      <c r="B11" s="261">
        <v>52</v>
      </c>
      <c r="C11" s="261">
        <v>52</v>
      </c>
      <c r="D11" s="262">
        <v>49</v>
      </c>
      <c r="E11" s="262">
        <v>55</v>
      </c>
      <c r="F11" s="262">
        <v>54</v>
      </c>
      <c r="G11" s="263">
        <v>50</v>
      </c>
      <c r="H11" s="315">
        <v>47</v>
      </c>
      <c r="I11" s="316">
        <v>51</v>
      </c>
    </row>
    <row r="12" spans="1:9">
      <c r="A12" s="38" t="s">
        <v>123</v>
      </c>
      <c r="B12" s="254">
        <v>17</v>
      </c>
      <c r="C12" s="254">
        <v>19</v>
      </c>
      <c r="D12" s="255">
        <v>12</v>
      </c>
      <c r="E12" s="255">
        <v>48</v>
      </c>
      <c r="F12" s="255">
        <v>34</v>
      </c>
      <c r="G12" s="256">
        <v>74</v>
      </c>
      <c r="H12" s="308">
        <v>15</v>
      </c>
      <c r="I12" s="310">
        <v>28</v>
      </c>
    </row>
    <row r="13" spans="1:9" s="329" customFormat="1">
      <c r="A13" s="42" t="s">
        <v>124</v>
      </c>
      <c r="B13" s="160">
        <v>1</v>
      </c>
      <c r="C13" s="160">
        <v>1</v>
      </c>
      <c r="D13" s="161">
        <v>1</v>
      </c>
      <c r="E13" s="161">
        <v>6</v>
      </c>
      <c r="F13" s="161">
        <v>5</v>
      </c>
      <c r="G13" s="162">
        <v>45</v>
      </c>
      <c r="H13" s="164">
        <v>1</v>
      </c>
      <c r="I13" s="165">
        <v>8</v>
      </c>
    </row>
    <row r="14" spans="1:9">
      <c r="A14" s="63" t="s">
        <v>26</v>
      </c>
      <c r="B14" s="229">
        <v>58</v>
      </c>
      <c r="C14" s="229">
        <v>62</v>
      </c>
      <c r="D14" s="230">
        <v>66</v>
      </c>
      <c r="E14" s="230">
        <v>44</v>
      </c>
      <c r="F14" s="230">
        <v>55</v>
      </c>
      <c r="G14" s="231">
        <v>20</v>
      </c>
      <c r="H14" s="232">
        <v>57</v>
      </c>
      <c r="I14" s="234">
        <v>52</v>
      </c>
    </row>
    <row r="15" spans="1:9">
      <c r="A15" s="260" t="s">
        <v>27</v>
      </c>
      <c r="B15" s="261">
        <v>25</v>
      </c>
      <c r="C15" s="261">
        <v>19</v>
      </c>
      <c r="D15" s="262">
        <v>22</v>
      </c>
      <c r="E15" s="262">
        <v>8</v>
      </c>
      <c r="F15" s="262">
        <v>12</v>
      </c>
      <c r="G15" s="263">
        <v>6</v>
      </c>
      <c r="H15" s="315">
        <v>29</v>
      </c>
      <c r="I15" s="316">
        <v>21</v>
      </c>
    </row>
    <row r="16" spans="1:9">
      <c r="A16" s="314" t="s">
        <v>28</v>
      </c>
      <c r="B16" s="254">
        <v>91</v>
      </c>
      <c r="C16" s="254">
        <v>74</v>
      </c>
      <c r="D16" s="255">
        <v>77</v>
      </c>
      <c r="E16" s="255">
        <v>61</v>
      </c>
      <c r="F16" s="255">
        <v>52</v>
      </c>
      <c r="G16" s="256">
        <v>28</v>
      </c>
      <c r="H16" s="308">
        <v>72</v>
      </c>
      <c r="I16" s="310">
        <v>76</v>
      </c>
    </row>
    <row r="17" spans="1:9">
      <c r="A17" s="250" t="s">
        <v>29</v>
      </c>
      <c r="B17" s="251">
        <v>2</v>
      </c>
      <c r="C17" s="251">
        <v>19</v>
      </c>
      <c r="D17" s="252">
        <v>5</v>
      </c>
      <c r="E17" s="252">
        <v>18</v>
      </c>
      <c r="F17" s="252">
        <v>18</v>
      </c>
      <c r="G17" s="253">
        <v>12</v>
      </c>
      <c r="H17" s="312">
        <v>7</v>
      </c>
      <c r="I17" s="313">
        <v>6</v>
      </c>
    </row>
    <row r="18" spans="1:9">
      <c r="A18" s="250" t="s">
        <v>30</v>
      </c>
      <c r="B18" s="251">
        <v>7</v>
      </c>
      <c r="C18" s="251">
        <v>8</v>
      </c>
      <c r="D18" s="252">
        <v>19</v>
      </c>
      <c r="E18" s="252">
        <v>21</v>
      </c>
      <c r="F18" s="252">
        <v>30</v>
      </c>
      <c r="G18" s="253">
        <v>61</v>
      </c>
      <c r="H18" s="312">
        <v>21</v>
      </c>
      <c r="I18" s="313">
        <v>18</v>
      </c>
    </row>
    <row r="19" spans="1:9">
      <c r="A19" s="250" t="s">
        <v>31</v>
      </c>
      <c r="B19" s="251">
        <v>99</v>
      </c>
      <c r="C19" s="251">
        <v>98</v>
      </c>
      <c r="D19" s="252">
        <v>98</v>
      </c>
      <c r="E19" s="252">
        <v>1</v>
      </c>
      <c r="F19" s="252">
        <v>0</v>
      </c>
      <c r="G19" s="253">
        <v>1</v>
      </c>
      <c r="H19" s="312">
        <v>92</v>
      </c>
      <c r="I19" s="313">
        <v>76</v>
      </c>
    </row>
    <row r="20" spans="1:9">
      <c r="A20" s="250" t="s">
        <v>150</v>
      </c>
      <c r="B20" s="251">
        <v>62</v>
      </c>
      <c r="C20" s="251">
        <v>61</v>
      </c>
      <c r="D20" s="252">
        <v>66</v>
      </c>
      <c r="E20" s="252">
        <v>1</v>
      </c>
      <c r="F20" s="252">
        <v>0</v>
      </c>
      <c r="G20" s="253">
        <v>0</v>
      </c>
      <c r="H20" s="312">
        <v>53</v>
      </c>
      <c r="I20" s="313">
        <v>48</v>
      </c>
    </row>
    <row r="21" spans="1:9">
      <c r="A21" s="330" t="s">
        <v>130</v>
      </c>
      <c r="B21" s="254">
        <v>73</v>
      </c>
      <c r="C21" s="254">
        <v>91</v>
      </c>
      <c r="D21" s="255">
        <v>80</v>
      </c>
      <c r="E21" s="255">
        <v>85</v>
      </c>
      <c r="F21" s="255">
        <v>80</v>
      </c>
      <c r="G21" s="256">
        <v>91</v>
      </c>
      <c r="H21" s="308" t="s">
        <v>23</v>
      </c>
      <c r="I21" s="310">
        <v>78</v>
      </c>
    </row>
    <row r="22" spans="1:9">
      <c r="A22" s="331" t="s">
        <v>131</v>
      </c>
      <c r="B22" s="251">
        <v>17</v>
      </c>
      <c r="C22" s="251">
        <v>7</v>
      </c>
      <c r="D22" s="252">
        <v>11</v>
      </c>
      <c r="E22" s="252">
        <v>11</v>
      </c>
      <c r="F22" s="252">
        <v>10</v>
      </c>
      <c r="G22" s="253">
        <v>4</v>
      </c>
      <c r="H22" s="312" t="s">
        <v>23</v>
      </c>
      <c r="I22" s="313">
        <v>13</v>
      </c>
    </row>
    <row r="23" spans="1:9">
      <c r="A23" s="332" t="s">
        <v>132</v>
      </c>
      <c r="B23" s="261">
        <v>11</v>
      </c>
      <c r="C23" s="261">
        <v>3</v>
      </c>
      <c r="D23" s="262">
        <v>9</v>
      </c>
      <c r="E23" s="262">
        <v>4</v>
      </c>
      <c r="F23" s="262">
        <v>9</v>
      </c>
      <c r="G23" s="263">
        <v>5</v>
      </c>
      <c r="H23" s="315" t="s">
        <v>23</v>
      </c>
      <c r="I23" s="316">
        <v>9</v>
      </c>
    </row>
    <row r="24" spans="1:9" ht="30" customHeight="1">
      <c r="A24" s="250" t="s">
        <v>159</v>
      </c>
      <c r="B24" s="251">
        <v>18</v>
      </c>
      <c r="C24" s="251">
        <v>22</v>
      </c>
      <c r="D24" s="252">
        <v>6</v>
      </c>
      <c r="E24" s="252" t="s">
        <v>23</v>
      </c>
      <c r="F24" s="252" t="s">
        <v>23</v>
      </c>
      <c r="G24" s="253" t="s">
        <v>23</v>
      </c>
      <c r="H24" s="312">
        <v>19</v>
      </c>
      <c r="I24" s="313" t="s">
        <v>23</v>
      </c>
    </row>
    <row r="25" spans="1:9">
      <c r="A25" s="333" t="s">
        <v>160</v>
      </c>
      <c r="B25" s="317">
        <v>3.7</v>
      </c>
      <c r="C25" s="317">
        <v>3.4</v>
      </c>
      <c r="D25" s="318">
        <v>3.5</v>
      </c>
      <c r="E25" s="318">
        <v>3.5</v>
      </c>
      <c r="F25" s="318">
        <v>3</v>
      </c>
      <c r="G25" s="319">
        <v>2.7</v>
      </c>
      <c r="H25" s="320" t="s">
        <v>23</v>
      </c>
      <c r="I25" s="321">
        <v>3.5</v>
      </c>
    </row>
    <row r="26" spans="1:9">
      <c r="A26" s="322" t="s">
        <v>161</v>
      </c>
      <c r="B26" s="251">
        <v>94</v>
      </c>
      <c r="C26" s="251">
        <v>97</v>
      </c>
      <c r="D26" s="252">
        <v>93</v>
      </c>
      <c r="E26" s="252">
        <v>89</v>
      </c>
      <c r="F26" s="252">
        <v>86</v>
      </c>
      <c r="G26" s="253">
        <v>68</v>
      </c>
      <c r="H26" s="312">
        <v>93</v>
      </c>
      <c r="I26" s="313">
        <v>90</v>
      </c>
    </row>
    <row r="27" spans="1:9" s="329" customFormat="1">
      <c r="A27" s="436" t="s">
        <v>32</v>
      </c>
      <c r="B27" s="154">
        <v>39</v>
      </c>
      <c r="C27" s="154">
        <v>28</v>
      </c>
      <c r="D27" s="155">
        <v>53</v>
      </c>
      <c r="E27" s="155">
        <v>33</v>
      </c>
      <c r="F27" s="155">
        <v>32</v>
      </c>
      <c r="G27" s="156">
        <v>21</v>
      </c>
      <c r="H27" s="158">
        <v>41</v>
      </c>
      <c r="I27" s="159">
        <v>35</v>
      </c>
    </row>
    <row r="28" spans="1:9" s="329" customFormat="1">
      <c r="A28" s="436" t="s">
        <v>33</v>
      </c>
      <c r="B28" s="154">
        <v>47</v>
      </c>
      <c r="C28" s="154">
        <v>60</v>
      </c>
      <c r="D28" s="155">
        <v>27</v>
      </c>
      <c r="E28" s="155">
        <v>44</v>
      </c>
      <c r="F28" s="155">
        <v>40</v>
      </c>
      <c r="G28" s="156">
        <v>35</v>
      </c>
      <c r="H28" s="158">
        <v>44</v>
      </c>
      <c r="I28" s="159">
        <v>45</v>
      </c>
    </row>
    <row r="29" spans="1:9" s="329" customFormat="1">
      <c r="A29" s="436" t="s">
        <v>34</v>
      </c>
      <c r="B29" s="154">
        <v>5</v>
      </c>
      <c r="C29" s="154">
        <v>4</v>
      </c>
      <c r="D29" s="155">
        <v>2</v>
      </c>
      <c r="E29" s="155">
        <v>6</v>
      </c>
      <c r="F29" s="155">
        <v>5</v>
      </c>
      <c r="G29" s="156">
        <v>7</v>
      </c>
      <c r="H29" s="158">
        <v>4</v>
      </c>
      <c r="I29" s="159">
        <v>5</v>
      </c>
    </row>
    <row r="30" spans="1:9" s="329" customFormat="1">
      <c r="A30" s="436" t="s">
        <v>108</v>
      </c>
      <c r="B30" s="154">
        <v>3</v>
      </c>
      <c r="C30" s="154">
        <v>5</v>
      </c>
      <c r="D30" s="155">
        <v>11</v>
      </c>
      <c r="E30" s="155">
        <v>6</v>
      </c>
      <c r="F30" s="155">
        <v>10</v>
      </c>
      <c r="G30" s="156">
        <v>5</v>
      </c>
      <c r="H30" s="158">
        <v>5</v>
      </c>
      <c r="I30" s="159">
        <v>5</v>
      </c>
    </row>
    <row r="31" spans="1:9">
      <c r="A31" s="333" t="s">
        <v>79</v>
      </c>
      <c r="B31" s="301">
        <v>11</v>
      </c>
      <c r="C31" s="301">
        <v>6</v>
      </c>
      <c r="D31" s="302">
        <v>2</v>
      </c>
      <c r="E31" s="302">
        <v>20</v>
      </c>
      <c r="F31" s="302">
        <v>13</v>
      </c>
      <c r="G31" s="303">
        <v>22</v>
      </c>
      <c r="H31" s="304" t="s">
        <v>23</v>
      </c>
      <c r="I31" s="305">
        <v>12</v>
      </c>
    </row>
    <row r="32" spans="1:9">
      <c r="A32" s="68" t="s">
        <v>138</v>
      </c>
      <c r="C32" s="329"/>
      <c r="D32" s="226"/>
      <c r="E32" s="273"/>
      <c r="F32" s="273"/>
      <c r="G32" s="273"/>
      <c r="H32" s="273"/>
      <c r="I32" s="273"/>
    </row>
    <row r="33" spans="1:9" ht="30" customHeight="1">
      <c r="A33" s="473" t="s">
        <v>37</v>
      </c>
      <c r="B33" s="473"/>
      <c r="C33" s="473"/>
      <c r="D33" s="473"/>
      <c r="E33" s="473"/>
      <c r="F33" s="473"/>
      <c r="G33" s="473"/>
      <c r="H33" s="473"/>
      <c r="I33" s="473"/>
    </row>
    <row r="34" spans="1:9" s="329" customFormat="1">
      <c r="A34" s="482" t="s">
        <v>192</v>
      </c>
      <c r="B34" s="482"/>
      <c r="C34" s="482"/>
      <c r="D34" s="482"/>
      <c r="E34" s="482"/>
      <c r="F34" s="482"/>
      <c r="G34" s="482"/>
      <c r="H34" s="482"/>
      <c r="I34" s="482"/>
    </row>
    <row r="35" spans="1:9">
      <c r="A35" s="473" t="s">
        <v>199</v>
      </c>
      <c r="B35" s="473"/>
      <c r="C35" s="473"/>
      <c r="D35" s="473"/>
      <c r="E35" s="473"/>
      <c r="F35" s="473"/>
      <c r="G35" s="473"/>
      <c r="H35" s="473"/>
      <c r="I35" s="473"/>
    </row>
    <row r="36" spans="1:9" s="334" customFormat="1">
      <c r="A36" s="323" t="s">
        <v>158</v>
      </c>
      <c r="B36" s="323"/>
      <c r="C36" s="323"/>
      <c r="D36" s="323"/>
      <c r="E36" s="323"/>
      <c r="F36" s="323"/>
      <c r="G36" s="323"/>
      <c r="H36" s="323"/>
      <c r="I36" s="323"/>
    </row>
    <row r="37" spans="1:9" s="329" customFormat="1">
      <c r="A37" s="124" t="s">
        <v>80</v>
      </c>
      <c r="B37" s="93"/>
      <c r="C37" s="93"/>
      <c r="D37" s="93"/>
      <c r="E37" s="93"/>
      <c r="F37" s="93"/>
      <c r="G37" s="93"/>
      <c r="H37" s="93"/>
      <c r="I37" s="93"/>
    </row>
    <row r="38" spans="1:9" s="329" customFormat="1">
      <c r="A38" s="124" t="s">
        <v>16</v>
      </c>
      <c r="B38" s="93"/>
      <c r="C38" s="93"/>
      <c r="D38" s="93"/>
      <c r="E38" s="93"/>
      <c r="F38" s="93"/>
      <c r="G38" s="93"/>
      <c r="H38" s="93"/>
      <c r="I38" s="93"/>
    </row>
    <row r="40" spans="1:9">
      <c r="B40" s="335"/>
      <c r="C40" s="335"/>
      <c r="D40" s="335"/>
      <c r="E40" s="335"/>
      <c r="F40" s="335"/>
      <c r="G40" s="335"/>
      <c r="H40" s="335"/>
      <c r="I40" s="335"/>
    </row>
    <row r="41" spans="1:9">
      <c r="B41" s="335"/>
      <c r="C41" s="336"/>
      <c r="D41" s="336"/>
      <c r="E41" s="336"/>
      <c r="F41" s="336"/>
      <c r="G41" s="336"/>
      <c r="H41" s="335"/>
      <c r="I41" s="336"/>
    </row>
    <row r="42" spans="1:9">
      <c r="B42" s="335"/>
      <c r="C42" s="335"/>
      <c r="D42" s="335"/>
      <c r="E42" s="335"/>
      <c r="F42" s="335"/>
      <c r="G42" s="335"/>
      <c r="H42" s="336"/>
      <c r="I42" s="335"/>
    </row>
    <row r="43" spans="1:9">
      <c r="B43" s="335"/>
      <c r="C43" s="335"/>
      <c r="D43" s="335"/>
      <c r="E43" s="335"/>
      <c r="F43" s="335"/>
      <c r="G43" s="335"/>
      <c r="H43" s="335"/>
      <c r="I43" s="335"/>
    </row>
    <row r="44" spans="1:9">
      <c r="B44" s="335"/>
      <c r="C44" s="335"/>
      <c r="D44" s="335"/>
      <c r="E44" s="335"/>
      <c r="F44" s="335"/>
      <c r="G44" s="335"/>
      <c r="H44" s="335"/>
      <c r="I44" s="335"/>
    </row>
    <row r="45" spans="1:9">
      <c r="B45" s="335"/>
      <c r="C45" s="335"/>
      <c r="D45" s="335"/>
      <c r="E45" s="335"/>
      <c r="F45" s="335"/>
      <c r="G45" s="335"/>
      <c r="H45" s="335"/>
      <c r="I45" s="335"/>
    </row>
    <row r="46" spans="1:9">
      <c r="B46" s="335"/>
      <c r="C46" s="335"/>
      <c r="D46" s="335"/>
      <c r="E46" s="335"/>
      <c r="F46" s="335"/>
      <c r="G46" s="335"/>
      <c r="H46" s="335"/>
      <c r="I46" s="335"/>
    </row>
    <row r="47" spans="1:9">
      <c r="B47" s="335"/>
      <c r="C47" s="335"/>
      <c r="D47" s="335"/>
      <c r="E47" s="335"/>
      <c r="F47" s="335"/>
      <c r="G47" s="335"/>
      <c r="H47" s="335"/>
      <c r="I47" s="335"/>
    </row>
    <row r="48" spans="1:9">
      <c r="B48" s="335"/>
      <c r="C48" s="335"/>
      <c r="D48" s="335"/>
      <c r="E48" s="335"/>
      <c r="F48" s="335"/>
      <c r="G48" s="335"/>
      <c r="H48" s="335"/>
      <c r="I48" s="335"/>
    </row>
    <row r="49" spans="2:9">
      <c r="B49" s="335"/>
      <c r="C49" s="335"/>
      <c r="D49" s="335"/>
      <c r="E49" s="335"/>
      <c r="F49" s="335"/>
      <c r="G49" s="335"/>
      <c r="H49" s="335"/>
      <c r="I49" s="335"/>
    </row>
    <row r="50" spans="2:9">
      <c r="B50" s="335"/>
      <c r="C50" s="335"/>
      <c r="D50" s="335"/>
      <c r="E50" s="335"/>
      <c r="F50" s="335"/>
      <c r="G50" s="335"/>
      <c r="H50" s="335"/>
      <c r="I50" s="335"/>
    </row>
    <row r="51" spans="2:9">
      <c r="B51" s="335"/>
      <c r="C51" s="335"/>
      <c r="D51" s="335"/>
      <c r="E51" s="335"/>
      <c r="F51" s="335"/>
      <c r="G51" s="335"/>
      <c r="H51" s="335"/>
      <c r="I51" s="335"/>
    </row>
    <row r="52" spans="2:9">
      <c r="B52" s="335"/>
      <c r="C52" s="335"/>
      <c r="D52" s="335"/>
      <c r="E52" s="335"/>
      <c r="F52" s="335"/>
      <c r="G52" s="335"/>
      <c r="H52" s="335"/>
      <c r="I52" s="335"/>
    </row>
    <row r="53" spans="2:9">
      <c r="B53" s="335"/>
      <c r="C53" s="335"/>
      <c r="D53" s="335"/>
      <c r="E53" s="335"/>
      <c r="F53" s="335"/>
      <c r="G53" s="335"/>
      <c r="H53" s="335"/>
      <c r="I53" s="335"/>
    </row>
    <row r="54" spans="2:9">
      <c r="B54" s="335"/>
      <c r="C54" s="335"/>
      <c r="D54" s="335"/>
      <c r="E54" s="335"/>
      <c r="F54" s="335"/>
      <c r="G54" s="335"/>
      <c r="H54" s="335"/>
      <c r="I54" s="335"/>
    </row>
    <row r="55" spans="2:9">
      <c r="B55" s="335"/>
      <c r="C55" s="335"/>
      <c r="D55" s="335"/>
      <c r="E55" s="335"/>
      <c r="F55" s="335"/>
      <c r="G55" s="335"/>
      <c r="H55" s="336"/>
      <c r="I55" s="335"/>
    </row>
    <row r="56" spans="2:9">
      <c r="B56" s="335"/>
      <c r="C56" s="335"/>
      <c r="D56" s="335"/>
      <c r="E56" s="335"/>
      <c r="F56" s="335"/>
      <c r="G56" s="335"/>
      <c r="H56" s="336"/>
      <c r="I56" s="335"/>
    </row>
    <row r="57" spans="2:9">
      <c r="B57" s="335"/>
      <c r="C57" s="335"/>
      <c r="D57" s="335"/>
      <c r="E57" s="335"/>
      <c r="F57" s="335"/>
      <c r="G57" s="335"/>
      <c r="H57" s="336"/>
      <c r="I57" s="335"/>
    </row>
    <row r="58" spans="2:9">
      <c r="B58" s="335"/>
      <c r="C58" s="335"/>
      <c r="D58" s="335"/>
      <c r="E58" s="336"/>
      <c r="F58" s="336"/>
      <c r="G58" s="336"/>
      <c r="H58" s="335"/>
      <c r="I58" s="336"/>
    </row>
    <row r="59" spans="2:9">
      <c r="B59" s="335"/>
      <c r="C59" s="335"/>
      <c r="D59" s="335"/>
      <c r="E59" s="335"/>
      <c r="F59" s="335"/>
      <c r="G59" s="335"/>
      <c r="H59" s="336"/>
      <c r="I59" s="335"/>
    </row>
    <row r="60" spans="2:9">
      <c r="B60" s="335"/>
      <c r="C60" s="335"/>
      <c r="D60" s="335"/>
      <c r="E60" s="335"/>
      <c r="F60" s="335"/>
      <c r="G60" s="335"/>
      <c r="H60" s="335"/>
      <c r="I60" s="335"/>
    </row>
    <row r="61" spans="2:9">
      <c r="B61" s="335"/>
      <c r="C61" s="335"/>
      <c r="D61" s="335"/>
      <c r="E61" s="335"/>
      <c r="F61" s="335"/>
      <c r="G61" s="335"/>
      <c r="H61" s="335"/>
      <c r="I61" s="335"/>
    </row>
    <row r="62" spans="2:9">
      <c r="B62" s="335"/>
      <c r="C62" s="335"/>
      <c r="D62" s="335"/>
      <c r="E62" s="335"/>
      <c r="F62" s="335"/>
      <c r="G62" s="335"/>
      <c r="H62" s="335"/>
      <c r="I62" s="335"/>
    </row>
    <row r="63" spans="2:9">
      <c r="B63" s="335"/>
      <c r="C63" s="335"/>
      <c r="D63" s="335"/>
      <c r="E63" s="335"/>
      <c r="F63" s="335"/>
      <c r="G63" s="335"/>
      <c r="H63" s="335"/>
      <c r="I63" s="335"/>
    </row>
    <row r="64" spans="2:9">
      <c r="B64" s="335"/>
      <c r="C64" s="335"/>
      <c r="D64" s="335"/>
      <c r="E64" s="335"/>
      <c r="F64" s="335"/>
      <c r="G64" s="335"/>
      <c r="H64" s="335"/>
      <c r="I64" s="335"/>
    </row>
    <row r="65" spans="2:9">
      <c r="B65" s="335"/>
      <c r="C65" s="335"/>
      <c r="D65" s="335"/>
      <c r="E65" s="335"/>
      <c r="F65" s="335"/>
      <c r="G65" s="335"/>
      <c r="H65" s="335"/>
      <c r="I65" s="335"/>
    </row>
    <row r="66" spans="2:9">
      <c r="B66" s="336"/>
      <c r="C66" s="336"/>
      <c r="D66" s="336"/>
      <c r="E66" s="336"/>
      <c r="F66" s="336"/>
      <c r="G66" s="336"/>
      <c r="H66" s="336"/>
      <c r="I66" s="336"/>
    </row>
    <row r="67" spans="2:9">
      <c r="B67" s="335"/>
      <c r="C67" s="335"/>
      <c r="D67" s="335"/>
      <c r="E67" s="335"/>
      <c r="F67" s="335"/>
      <c r="G67" s="335"/>
      <c r="H67" s="336"/>
      <c r="I67" s="335"/>
    </row>
    <row r="68" spans="2:9">
      <c r="B68" s="335"/>
      <c r="C68" s="335"/>
      <c r="D68" s="335"/>
      <c r="E68" s="335"/>
      <c r="F68" s="335"/>
      <c r="G68" s="335"/>
      <c r="H68" s="335"/>
      <c r="I68" s="335"/>
    </row>
    <row r="69" spans="2:9">
      <c r="B69" s="335"/>
      <c r="C69" s="335"/>
      <c r="D69" s="335"/>
      <c r="E69" s="335"/>
      <c r="F69" s="335"/>
      <c r="G69" s="335"/>
      <c r="H69" s="335"/>
      <c r="I69" s="335"/>
    </row>
    <row r="70" spans="2:9">
      <c r="B70" s="335"/>
      <c r="C70" s="335"/>
      <c r="D70" s="335"/>
      <c r="E70" s="335"/>
      <c r="F70" s="335"/>
      <c r="G70" s="335"/>
      <c r="H70" s="335"/>
      <c r="I70" s="335"/>
    </row>
    <row r="71" spans="2:9">
      <c r="B71" s="335"/>
      <c r="C71" s="335"/>
      <c r="D71" s="335"/>
      <c r="E71" s="335"/>
      <c r="F71" s="335"/>
      <c r="G71" s="335"/>
      <c r="H71" s="335"/>
      <c r="I71" s="335"/>
    </row>
    <row r="72" spans="2:9">
      <c r="B72" s="335"/>
      <c r="C72" s="335"/>
      <c r="D72" s="335"/>
      <c r="E72" s="335"/>
      <c r="F72" s="335"/>
      <c r="G72" s="335"/>
      <c r="H72" s="335"/>
      <c r="I72" s="335"/>
    </row>
    <row r="73" spans="2:9">
      <c r="B73" s="335"/>
      <c r="C73" s="335"/>
      <c r="D73" s="335"/>
      <c r="E73" s="335"/>
      <c r="F73" s="335"/>
      <c r="G73" s="335"/>
      <c r="H73" s="335"/>
      <c r="I73" s="335"/>
    </row>
    <row r="74" spans="2:9">
      <c r="B74" s="335"/>
      <c r="C74" s="335"/>
      <c r="D74" s="335"/>
      <c r="E74" s="335"/>
      <c r="F74" s="335"/>
      <c r="G74" s="335"/>
      <c r="H74" s="335"/>
      <c r="I74" s="335"/>
    </row>
    <row r="75" spans="2:9">
      <c r="B75" s="335"/>
      <c r="C75" s="335"/>
      <c r="D75" s="335"/>
      <c r="E75" s="335"/>
      <c r="F75" s="335"/>
      <c r="G75" s="335"/>
      <c r="H75" s="335"/>
      <c r="I75" s="335"/>
    </row>
    <row r="76" spans="2:9">
      <c r="B76" s="335"/>
      <c r="C76" s="335"/>
      <c r="D76" s="335"/>
      <c r="E76" s="335"/>
      <c r="F76" s="335"/>
      <c r="G76" s="335"/>
      <c r="H76" s="335"/>
      <c r="I76" s="335"/>
    </row>
    <row r="77" spans="2:9">
      <c r="B77" s="335"/>
      <c r="C77" s="335"/>
      <c r="D77" s="335"/>
      <c r="E77" s="335"/>
      <c r="F77" s="335"/>
      <c r="G77" s="335"/>
      <c r="H77" s="335"/>
      <c r="I77" s="335"/>
    </row>
    <row r="78" spans="2:9">
      <c r="B78" s="335"/>
      <c r="C78" s="335"/>
      <c r="D78" s="335"/>
      <c r="E78" s="335"/>
      <c r="F78" s="335"/>
      <c r="G78" s="335"/>
      <c r="H78" s="335"/>
      <c r="I78" s="335"/>
    </row>
    <row r="79" spans="2:9">
      <c r="B79" s="335"/>
      <c r="C79" s="335"/>
      <c r="D79" s="335"/>
      <c r="E79" s="335"/>
      <c r="F79" s="335"/>
      <c r="G79" s="335"/>
      <c r="H79" s="335"/>
      <c r="I79" s="335"/>
    </row>
    <row r="80" spans="2:9">
      <c r="B80" s="335"/>
      <c r="C80" s="335"/>
      <c r="D80" s="335"/>
      <c r="E80" s="335"/>
      <c r="F80" s="335"/>
      <c r="G80" s="335"/>
      <c r="H80" s="335"/>
      <c r="I80" s="335"/>
    </row>
  </sheetData>
  <mergeCells count="13">
    <mergeCell ref="A35:I35"/>
    <mergeCell ref="A3:A6"/>
    <mergeCell ref="B3:G3"/>
    <mergeCell ref="B4:B6"/>
    <mergeCell ref="C4:C6"/>
    <mergeCell ref="D4:D6"/>
    <mergeCell ref="E4:F4"/>
    <mergeCell ref="G4:G6"/>
    <mergeCell ref="E6:F6"/>
    <mergeCell ref="A33:I33"/>
    <mergeCell ref="A34:I34"/>
    <mergeCell ref="H3:H6"/>
    <mergeCell ref="I3:I6"/>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
  <sheetViews>
    <sheetView zoomScaleNormal="100" workbookViewId="0"/>
  </sheetViews>
  <sheetFormatPr baseColWidth="10" defaultColWidth="8" defaultRowHeight="12.75" customHeight="1"/>
  <cols>
    <col min="1" max="1" width="43.625" style="69" customWidth="1"/>
    <col min="2" max="9" width="10.625" style="337" customWidth="1"/>
    <col min="10" max="16384" width="8" style="69"/>
  </cols>
  <sheetData>
    <row r="1" spans="1:9" s="325" customFormat="1">
      <c r="A1" s="325" t="s">
        <v>136</v>
      </c>
    </row>
    <row r="2" spans="1:9">
      <c r="A2" s="326"/>
      <c r="I2" s="338" t="s">
        <v>81</v>
      </c>
    </row>
    <row r="3" spans="1:9" s="93" customFormat="1" ht="15" customHeight="1">
      <c r="A3" s="474" t="s">
        <v>203</v>
      </c>
      <c r="B3" s="489" t="s">
        <v>82</v>
      </c>
      <c r="C3" s="490"/>
      <c r="D3" s="491" t="s">
        <v>83</v>
      </c>
      <c r="E3" s="491"/>
      <c r="F3" s="491"/>
      <c r="G3" s="491"/>
      <c r="H3" s="491"/>
      <c r="I3" s="491"/>
    </row>
    <row r="4" spans="1:9" s="346" customFormat="1" ht="30" customHeight="1">
      <c r="A4" s="474"/>
      <c r="B4" s="339">
        <v>2024</v>
      </c>
      <c r="C4" s="340">
        <v>2021</v>
      </c>
      <c r="D4" s="341" t="s">
        <v>9</v>
      </c>
      <c r="E4" s="342" t="s">
        <v>133</v>
      </c>
      <c r="F4" s="343" t="s">
        <v>134</v>
      </c>
      <c r="G4" s="344" t="s">
        <v>135</v>
      </c>
      <c r="H4" s="342" t="s">
        <v>181</v>
      </c>
      <c r="I4" s="345" t="s">
        <v>85</v>
      </c>
    </row>
    <row r="5" spans="1:9" s="72" customFormat="1">
      <c r="A5" s="347" t="s">
        <v>86</v>
      </c>
      <c r="B5" s="348">
        <v>1466</v>
      </c>
      <c r="C5" s="349">
        <v>1763</v>
      </c>
      <c r="D5" s="348">
        <v>-297</v>
      </c>
      <c r="E5" s="350">
        <v>-85</v>
      </c>
      <c r="F5" s="351">
        <v>-141</v>
      </c>
      <c r="G5" s="352">
        <v>-71</v>
      </c>
      <c r="H5" s="350">
        <v>-211</v>
      </c>
      <c r="I5" s="353">
        <v>-86</v>
      </c>
    </row>
    <row r="6" spans="1:9" s="72" customFormat="1">
      <c r="A6" s="354" t="s">
        <v>87</v>
      </c>
      <c r="B6" s="355">
        <v>727</v>
      </c>
      <c r="C6" s="356">
        <v>866</v>
      </c>
      <c r="D6" s="357">
        <v>-139</v>
      </c>
      <c r="E6" s="358">
        <v>-23</v>
      </c>
      <c r="F6" s="359">
        <v>-81</v>
      </c>
      <c r="G6" s="360">
        <v>-35</v>
      </c>
      <c r="H6" s="358">
        <v>-113</v>
      </c>
      <c r="I6" s="361">
        <v>-26</v>
      </c>
    </row>
    <row r="7" spans="1:9" s="72" customFormat="1">
      <c r="A7" s="354" t="s">
        <v>88</v>
      </c>
      <c r="B7" s="355">
        <v>503</v>
      </c>
      <c r="C7" s="356">
        <v>568</v>
      </c>
      <c r="D7" s="357">
        <v>-65</v>
      </c>
      <c r="E7" s="358">
        <v>-23</v>
      </c>
      <c r="F7" s="359">
        <v>-13</v>
      </c>
      <c r="G7" s="360">
        <v>-29</v>
      </c>
      <c r="H7" s="358">
        <v>-50</v>
      </c>
      <c r="I7" s="361">
        <v>-14</v>
      </c>
    </row>
    <row r="8" spans="1:9" s="72" customFormat="1">
      <c r="A8" s="354" t="s">
        <v>11</v>
      </c>
      <c r="B8" s="355">
        <v>236</v>
      </c>
      <c r="C8" s="356">
        <v>329</v>
      </c>
      <c r="D8" s="357">
        <v>-93</v>
      </c>
      <c r="E8" s="358">
        <v>-40</v>
      </c>
      <c r="F8" s="359">
        <v>-47</v>
      </c>
      <c r="G8" s="360">
        <v>-7</v>
      </c>
      <c r="H8" s="358">
        <v>-47</v>
      </c>
      <c r="I8" s="361">
        <v>-46</v>
      </c>
    </row>
    <row r="9" spans="1:9" s="72" customFormat="1">
      <c r="A9" s="362" t="s">
        <v>89</v>
      </c>
      <c r="B9" s="363">
        <v>1427</v>
      </c>
      <c r="C9" s="364">
        <v>1614</v>
      </c>
      <c r="D9" s="363">
        <v>-187</v>
      </c>
      <c r="E9" s="365">
        <v>-35</v>
      </c>
      <c r="F9" s="366">
        <v>-121</v>
      </c>
      <c r="G9" s="367">
        <v>-31</v>
      </c>
      <c r="H9" s="365">
        <v>-152</v>
      </c>
      <c r="I9" s="368">
        <v>-35</v>
      </c>
    </row>
    <row r="10" spans="1:9" s="72" customFormat="1">
      <c r="A10" s="369" t="s">
        <v>90</v>
      </c>
      <c r="B10" s="357">
        <v>863</v>
      </c>
      <c r="C10" s="370">
        <v>758</v>
      </c>
      <c r="D10" s="357">
        <v>105</v>
      </c>
      <c r="E10" s="371">
        <v>75</v>
      </c>
      <c r="F10" s="372">
        <v>33</v>
      </c>
      <c r="G10" s="373">
        <v>-3</v>
      </c>
      <c r="H10" s="371">
        <v>7</v>
      </c>
      <c r="I10" s="374">
        <v>98</v>
      </c>
    </row>
    <row r="11" spans="1:9" s="72" customFormat="1">
      <c r="A11" s="354" t="s">
        <v>91</v>
      </c>
      <c r="B11" s="355">
        <v>524</v>
      </c>
      <c r="C11" s="356">
        <v>435</v>
      </c>
      <c r="D11" s="357">
        <v>89</v>
      </c>
      <c r="E11" s="358">
        <v>73</v>
      </c>
      <c r="F11" s="359">
        <v>16</v>
      </c>
      <c r="G11" s="360">
        <v>0</v>
      </c>
      <c r="H11" s="358">
        <v>32</v>
      </c>
      <c r="I11" s="361">
        <v>56</v>
      </c>
    </row>
    <row r="12" spans="1:9" s="72" customFormat="1">
      <c r="A12" s="354" t="s">
        <v>92</v>
      </c>
      <c r="B12" s="355">
        <v>240</v>
      </c>
      <c r="C12" s="356">
        <v>224</v>
      </c>
      <c r="D12" s="357">
        <v>16</v>
      </c>
      <c r="E12" s="358">
        <v>7</v>
      </c>
      <c r="F12" s="359">
        <v>9</v>
      </c>
      <c r="G12" s="360">
        <v>0</v>
      </c>
      <c r="H12" s="358">
        <v>-12</v>
      </c>
      <c r="I12" s="361">
        <v>29</v>
      </c>
    </row>
    <row r="13" spans="1:9" s="72" customFormat="1">
      <c r="A13" s="354" t="s">
        <v>93</v>
      </c>
      <c r="B13" s="355">
        <v>99</v>
      </c>
      <c r="C13" s="356">
        <v>99</v>
      </c>
      <c r="D13" s="357">
        <v>0</v>
      </c>
      <c r="E13" s="358">
        <v>-5</v>
      </c>
      <c r="F13" s="359">
        <v>7</v>
      </c>
      <c r="G13" s="360">
        <v>-3</v>
      </c>
      <c r="H13" s="358">
        <v>-13</v>
      </c>
      <c r="I13" s="361">
        <v>13</v>
      </c>
    </row>
    <row r="14" spans="1:9" s="72" customFormat="1">
      <c r="A14" s="362" t="s">
        <v>164</v>
      </c>
      <c r="B14" s="363">
        <v>2893</v>
      </c>
      <c r="C14" s="364">
        <v>3377</v>
      </c>
      <c r="D14" s="363">
        <v>-484</v>
      </c>
      <c r="E14" s="365">
        <v>-120</v>
      </c>
      <c r="F14" s="366">
        <v>-262</v>
      </c>
      <c r="G14" s="367">
        <v>-101</v>
      </c>
      <c r="H14" s="365">
        <v>-363</v>
      </c>
      <c r="I14" s="368">
        <v>-121</v>
      </c>
    </row>
    <row r="15" spans="1:9" s="72" customFormat="1" ht="14.25" customHeight="1">
      <c r="A15" s="362" t="s">
        <v>163</v>
      </c>
      <c r="B15" s="363">
        <v>2290</v>
      </c>
      <c r="C15" s="364">
        <v>2372</v>
      </c>
      <c r="D15" s="363">
        <v>-82</v>
      </c>
      <c r="E15" s="365">
        <v>40</v>
      </c>
      <c r="F15" s="366">
        <v>-88</v>
      </c>
      <c r="G15" s="367">
        <v>-33</v>
      </c>
      <c r="H15" s="365">
        <v>-145</v>
      </c>
      <c r="I15" s="368">
        <v>63</v>
      </c>
    </row>
    <row r="16" spans="1:9" s="72" customFormat="1" ht="15.75" customHeight="1">
      <c r="A16" s="362" t="s">
        <v>162</v>
      </c>
      <c r="B16" s="363">
        <v>603</v>
      </c>
      <c r="C16" s="364">
        <v>1005</v>
      </c>
      <c r="D16" s="363">
        <v>-402</v>
      </c>
      <c r="E16" s="365">
        <v>-160</v>
      </c>
      <c r="F16" s="366">
        <v>-174</v>
      </c>
      <c r="G16" s="367">
        <v>-68</v>
      </c>
      <c r="H16" s="365">
        <v>-217</v>
      </c>
      <c r="I16" s="368">
        <v>-185</v>
      </c>
    </row>
    <row r="17" spans="1:9" s="94" customFormat="1" ht="30" customHeight="1">
      <c r="A17" s="375" t="s">
        <v>180</v>
      </c>
      <c r="B17" s="424">
        <v>49.3</v>
      </c>
      <c r="C17" s="425">
        <v>47.8</v>
      </c>
      <c r="D17" s="376">
        <v>1.5</v>
      </c>
      <c r="E17" s="377">
        <v>3.6</v>
      </c>
      <c r="F17" s="378">
        <v>0.4</v>
      </c>
      <c r="G17" s="379">
        <v>1.6</v>
      </c>
      <c r="H17" s="377">
        <v>0.2</v>
      </c>
      <c r="I17" s="380">
        <v>2.1</v>
      </c>
    </row>
    <row r="18" spans="1:9" ht="30" customHeight="1">
      <c r="A18" s="492" t="s">
        <v>165</v>
      </c>
      <c r="B18" s="492"/>
      <c r="C18" s="492"/>
      <c r="D18" s="492"/>
      <c r="E18" s="492"/>
      <c r="F18" s="492"/>
      <c r="G18" s="492"/>
      <c r="H18" s="492"/>
      <c r="I18" s="492"/>
    </row>
    <row r="19" spans="1:9" ht="15.75" customHeight="1">
      <c r="A19" s="124" t="s">
        <v>200</v>
      </c>
    </row>
    <row r="20" spans="1:9">
      <c r="A20" s="124" t="s">
        <v>16</v>
      </c>
    </row>
  </sheetData>
  <mergeCells count="4">
    <mergeCell ref="A3:A4"/>
    <mergeCell ref="B3:C3"/>
    <mergeCell ref="D3:I3"/>
    <mergeCell ref="A18:I18"/>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4"/>
  <sheetViews>
    <sheetView zoomScaleNormal="100" workbookViewId="0"/>
  </sheetViews>
  <sheetFormatPr baseColWidth="10" defaultColWidth="10.125" defaultRowHeight="12.75"/>
  <cols>
    <col min="1" max="1" width="40.625" style="72" customWidth="1"/>
    <col min="2" max="5" width="11.5" style="72" customWidth="1"/>
    <col min="6" max="16384" width="10.125" style="72"/>
  </cols>
  <sheetData>
    <row r="1" spans="1:10">
      <c r="A1" s="71" t="s">
        <v>137</v>
      </c>
    </row>
    <row r="2" spans="1:10">
      <c r="A2" s="94"/>
      <c r="J2" s="74" t="s">
        <v>95</v>
      </c>
    </row>
    <row r="3" spans="1:10">
      <c r="A3" s="381" t="s">
        <v>96</v>
      </c>
      <c r="B3" s="381">
        <v>2016</v>
      </c>
      <c r="C3" s="381">
        <v>2017</v>
      </c>
      <c r="D3" s="381">
        <v>2018</v>
      </c>
      <c r="E3" s="381">
        <v>2019</v>
      </c>
      <c r="F3" s="381">
        <v>2020</v>
      </c>
      <c r="G3" s="381">
        <v>2021</v>
      </c>
      <c r="H3" s="381">
        <v>2022</v>
      </c>
      <c r="I3" s="381">
        <v>2023</v>
      </c>
      <c r="J3" s="381">
        <v>2024</v>
      </c>
    </row>
    <row r="4" spans="1:10">
      <c r="A4" s="382" t="s">
        <v>97</v>
      </c>
      <c r="B4" s="77"/>
      <c r="C4" s="77"/>
      <c r="D4" s="77"/>
      <c r="E4" s="77"/>
      <c r="F4" s="77"/>
      <c r="G4" s="77"/>
      <c r="H4" s="77"/>
      <c r="I4" s="77"/>
      <c r="J4" s="77"/>
    </row>
    <row r="5" spans="1:10">
      <c r="A5" s="77" t="s">
        <v>98</v>
      </c>
      <c r="B5" s="383">
        <v>2983</v>
      </c>
      <c r="C5" s="383">
        <v>2792</v>
      </c>
      <c r="D5" s="383">
        <v>2696</v>
      </c>
      <c r="E5" s="383">
        <v>2516</v>
      </c>
      <c r="F5" s="383">
        <v>2383</v>
      </c>
      <c r="G5" s="383">
        <v>2372</v>
      </c>
      <c r="H5" s="383">
        <v>2222</v>
      </c>
      <c r="I5" s="383">
        <v>2247</v>
      </c>
      <c r="J5" s="383">
        <v>2290</v>
      </c>
    </row>
    <row r="6" spans="1:10">
      <c r="A6" s="382" t="s">
        <v>99</v>
      </c>
      <c r="B6" s="383"/>
      <c r="C6" s="383"/>
      <c r="D6" s="383"/>
      <c r="E6" s="383"/>
      <c r="F6" s="383"/>
      <c r="G6" s="383"/>
      <c r="H6" s="383"/>
      <c r="I6" s="383"/>
      <c r="J6" s="383"/>
    </row>
    <row r="7" spans="1:10">
      <c r="A7" s="77" t="s">
        <v>196</v>
      </c>
      <c r="B7" s="383">
        <v>3768</v>
      </c>
      <c r="C7" s="383">
        <v>3730</v>
      </c>
      <c r="D7" s="383">
        <v>3680</v>
      </c>
      <c r="E7" s="383">
        <v>3588</v>
      </c>
      <c r="F7" s="383">
        <v>3900</v>
      </c>
      <c r="G7" s="383">
        <v>3570</v>
      </c>
      <c r="H7" s="383">
        <v>3104</v>
      </c>
      <c r="I7" s="383">
        <v>2985</v>
      </c>
      <c r="J7" s="383">
        <v>3014</v>
      </c>
    </row>
    <row r="8" spans="1:10">
      <c r="A8" s="77" t="s">
        <v>100</v>
      </c>
      <c r="B8" s="383">
        <v>3668</v>
      </c>
      <c r="C8" s="383">
        <v>3631</v>
      </c>
      <c r="D8" s="383">
        <v>3586</v>
      </c>
      <c r="E8" s="383">
        <v>3498</v>
      </c>
      <c r="F8" s="383">
        <v>3806</v>
      </c>
      <c r="G8" s="383">
        <v>3478</v>
      </c>
      <c r="H8" s="383">
        <v>3023</v>
      </c>
      <c r="I8" s="383">
        <v>2913</v>
      </c>
      <c r="J8" s="383">
        <v>2968</v>
      </c>
    </row>
    <row r="9" spans="1:10">
      <c r="A9" s="384" t="s">
        <v>98</v>
      </c>
      <c r="B9" s="385">
        <v>3784</v>
      </c>
      <c r="C9" s="385">
        <v>3734</v>
      </c>
      <c r="D9" s="385">
        <v>3656</v>
      </c>
      <c r="E9" s="385">
        <v>3446</v>
      </c>
      <c r="F9" s="385">
        <v>3654</v>
      </c>
      <c r="G9" s="385">
        <v>3378</v>
      </c>
      <c r="H9" s="385">
        <v>3077</v>
      </c>
      <c r="I9" s="385">
        <v>2926</v>
      </c>
      <c r="J9" s="385">
        <v>2893</v>
      </c>
    </row>
    <row r="10" spans="1:10">
      <c r="A10" s="493" t="s">
        <v>144</v>
      </c>
      <c r="B10" s="493"/>
      <c r="C10" s="493"/>
      <c r="D10" s="493"/>
      <c r="E10" s="493"/>
      <c r="F10" s="493"/>
      <c r="G10" s="493"/>
      <c r="H10" s="493"/>
      <c r="I10" s="493"/>
      <c r="J10" s="493"/>
    </row>
    <row r="11" spans="1:10" ht="30" customHeight="1">
      <c r="A11" s="494" t="s">
        <v>166</v>
      </c>
      <c r="B11" s="494"/>
      <c r="C11" s="494"/>
      <c r="D11" s="494"/>
      <c r="E11" s="494"/>
      <c r="F11" s="494"/>
      <c r="G11" s="494"/>
      <c r="H11" s="494"/>
      <c r="I11" s="494"/>
      <c r="J11" s="494"/>
    </row>
    <row r="12" spans="1:10">
      <c r="A12" s="495" t="s">
        <v>190</v>
      </c>
      <c r="B12" s="495"/>
      <c r="C12" s="495"/>
      <c r="D12" s="495"/>
      <c r="E12" s="495"/>
      <c r="F12" s="495"/>
      <c r="G12" s="495"/>
      <c r="H12" s="495"/>
      <c r="I12" s="495"/>
      <c r="J12" s="495"/>
    </row>
    <row r="13" spans="1:10">
      <c r="A13" s="496" t="s">
        <v>94</v>
      </c>
      <c r="B13" s="496"/>
      <c r="C13" s="496"/>
      <c r="D13" s="496"/>
      <c r="E13" s="496"/>
      <c r="F13" s="496"/>
      <c r="G13" s="496"/>
      <c r="H13" s="496"/>
      <c r="I13" s="496"/>
      <c r="J13" s="496"/>
    </row>
    <row r="24" spans="1:10">
      <c r="A24" s="81"/>
      <c r="B24" s="81"/>
      <c r="C24" s="81"/>
      <c r="D24" s="81"/>
      <c r="E24" s="81"/>
      <c r="F24" s="81"/>
      <c r="G24" s="81"/>
      <c r="H24" s="81"/>
      <c r="I24" s="81"/>
      <c r="J24" s="81"/>
    </row>
    <row r="25" spans="1:10">
      <c r="A25" s="81"/>
      <c r="B25" s="30"/>
      <c r="C25" s="81"/>
      <c r="D25" s="81"/>
      <c r="E25" s="81"/>
      <c r="F25" s="81"/>
      <c r="G25" s="81"/>
      <c r="H25" s="81"/>
      <c r="I25" s="81"/>
      <c r="J25" s="81"/>
    </row>
    <row r="26" spans="1:10">
      <c r="A26" s="386"/>
      <c r="B26" s="81"/>
      <c r="C26" s="81"/>
      <c r="D26" s="81"/>
      <c r="E26" s="81"/>
      <c r="F26" s="81"/>
      <c r="G26" s="81"/>
      <c r="H26" s="81"/>
      <c r="I26" s="81"/>
      <c r="J26" s="81"/>
    </row>
    <row r="27" spans="1:10">
      <c r="A27" s="81"/>
      <c r="B27" s="81"/>
      <c r="C27" s="81"/>
      <c r="D27" s="81"/>
      <c r="E27" s="81"/>
      <c r="F27" s="81"/>
      <c r="G27" s="81"/>
      <c r="H27" s="81"/>
      <c r="I27" s="81"/>
      <c r="J27" s="81"/>
    </row>
    <row r="28" spans="1:10">
      <c r="A28" s="81"/>
      <c r="B28" s="81"/>
      <c r="C28" s="81"/>
      <c r="D28" s="81"/>
      <c r="E28" s="81"/>
      <c r="F28" s="81"/>
      <c r="G28" s="81"/>
      <c r="H28" s="81"/>
      <c r="I28" s="81"/>
      <c r="J28" s="81"/>
    </row>
    <row r="29" spans="1:10">
      <c r="A29" s="81"/>
      <c r="B29" s="81"/>
      <c r="C29" s="81"/>
      <c r="D29" s="81"/>
      <c r="E29" s="81"/>
      <c r="F29" s="81"/>
      <c r="G29" s="81"/>
      <c r="H29" s="81"/>
      <c r="I29" s="81"/>
      <c r="J29" s="81"/>
    </row>
    <row r="30" spans="1:10">
      <c r="A30" s="81"/>
      <c r="B30" s="81"/>
      <c r="C30" s="81"/>
      <c r="D30" s="81"/>
      <c r="E30" s="81"/>
      <c r="F30" s="81"/>
      <c r="G30" s="81"/>
      <c r="H30" s="81"/>
      <c r="I30" s="81"/>
      <c r="J30" s="81"/>
    </row>
    <row r="31" spans="1:10">
      <c r="A31" s="81"/>
      <c r="B31" s="81"/>
      <c r="C31" s="81"/>
      <c r="D31" s="81"/>
      <c r="E31" s="81"/>
      <c r="F31" s="81"/>
      <c r="G31" s="81"/>
      <c r="H31" s="81"/>
      <c r="I31" s="81"/>
      <c r="J31" s="81"/>
    </row>
    <row r="32" spans="1:10">
      <c r="A32" s="81"/>
      <c r="B32" s="81"/>
      <c r="C32" s="81"/>
      <c r="D32" s="81"/>
      <c r="E32" s="81"/>
      <c r="F32" s="81"/>
      <c r="G32" s="81"/>
      <c r="H32" s="81"/>
      <c r="I32" s="81"/>
      <c r="J32" s="81"/>
    </row>
    <row r="33" spans="1:10">
      <c r="A33" s="81"/>
      <c r="B33" s="81"/>
      <c r="C33" s="81"/>
      <c r="D33" s="81"/>
      <c r="E33" s="81"/>
      <c r="F33" s="81"/>
      <c r="G33" s="81"/>
      <c r="H33" s="81"/>
      <c r="I33" s="81"/>
      <c r="J33" s="81"/>
    </row>
    <row r="34" spans="1:10">
      <c r="A34" s="81"/>
      <c r="B34" s="81"/>
      <c r="C34" s="81"/>
      <c r="D34" s="81"/>
      <c r="E34" s="81"/>
      <c r="F34" s="81"/>
      <c r="G34" s="81"/>
      <c r="H34" s="81"/>
      <c r="I34" s="81"/>
      <c r="J34" s="81"/>
    </row>
    <row r="35" spans="1:10">
      <c r="A35" s="81"/>
      <c r="B35" s="81"/>
      <c r="C35" s="81"/>
      <c r="D35" s="81"/>
      <c r="E35" s="81"/>
      <c r="F35" s="81"/>
      <c r="G35" s="81"/>
      <c r="H35" s="81"/>
      <c r="I35" s="81"/>
      <c r="J35" s="81"/>
    </row>
    <row r="36" spans="1:10">
      <c r="B36" s="81"/>
      <c r="C36" s="81"/>
      <c r="D36" s="81"/>
      <c r="F36" s="90"/>
    </row>
    <row r="37" spans="1:10">
      <c r="A37" s="91"/>
      <c r="B37" s="81"/>
      <c r="C37" s="81"/>
      <c r="D37" s="81"/>
      <c r="E37" s="91"/>
      <c r="F37" s="91"/>
    </row>
    <row r="38" spans="1:10">
      <c r="A38" s="92"/>
      <c r="B38" s="81"/>
      <c r="C38" s="81"/>
      <c r="D38" s="81"/>
      <c r="E38" s="92"/>
      <c r="F38" s="92"/>
      <c r="H38" s="85"/>
      <c r="I38" s="85"/>
      <c r="J38" s="85"/>
    </row>
    <row r="39" spans="1:10">
      <c r="A39" s="92"/>
      <c r="B39" s="92"/>
      <c r="C39" s="92"/>
      <c r="D39" s="92"/>
      <c r="E39" s="92"/>
      <c r="F39" s="92"/>
      <c r="G39" s="85"/>
      <c r="H39" s="85"/>
      <c r="I39" s="85"/>
      <c r="J39" s="85"/>
    </row>
    <row r="40" spans="1:10">
      <c r="A40" s="92"/>
      <c r="B40" s="92"/>
      <c r="C40" s="92"/>
      <c r="D40" s="92"/>
      <c r="E40" s="92"/>
      <c r="F40" s="92"/>
      <c r="G40" s="85"/>
      <c r="H40" s="85"/>
      <c r="I40" s="85"/>
      <c r="J40" s="85"/>
    </row>
    <row r="41" spans="1:10">
      <c r="A41" s="92"/>
      <c r="B41" s="92"/>
      <c r="C41" s="92"/>
      <c r="D41" s="92"/>
      <c r="E41" s="92"/>
      <c r="F41" s="92"/>
      <c r="G41" s="85"/>
      <c r="H41" s="85"/>
      <c r="I41" s="85"/>
      <c r="J41" s="85"/>
    </row>
    <row r="42" spans="1:10">
      <c r="A42" s="92"/>
      <c r="B42" s="92"/>
      <c r="C42" s="92"/>
      <c r="D42" s="92"/>
      <c r="E42" s="92"/>
      <c r="F42" s="92"/>
      <c r="G42" s="85"/>
      <c r="H42" s="85"/>
      <c r="I42" s="85"/>
      <c r="J42" s="85"/>
    </row>
    <row r="43" spans="1:10">
      <c r="A43" s="92"/>
      <c r="B43" s="92"/>
      <c r="C43" s="92"/>
      <c r="D43" s="85"/>
      <c r="E43" s="85"/>
      <c r="F43" s="85"/>
      <c r="G43" s="85"/>
      <c r="I43" s="81"/>
      <c r="J43" s="81"/>
    </row>
    <row r="44" spans="1:10">
      <c r="I44" s="81"/>
      <c r="J44" s="81"/>
    </row>
  </sheetData>
  <mergeCells count="4">
    <mergeCell ref="A10:J10"/>
    <mergeCell ref="A11:J11"/>
    <mergeCell ref="A12:J12"/>
    <mergeCell ref="A13:J13"/>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2"/>
  <sheetViews>
    <sheetView zoomScaleNormal="100" workbookViewId="0"/>
  </sheetViews>
  <sheetFormatPr baseColWidth="10" defaultColWidth="11" defaultRowHeight="12.75" customHeight="1"/>
  <cols>
    <col min="1" max="1" width="11" style="15"/>
    <col min="2" max="9" width="14.625" style="16" customWidth="1"/>
    <col min="10" max="16384" width="11" style="15"/>
  </cols>
  <sheetData>
    <row r="1" spans="1:9">
      <c r="A1" s="17" t="s">
        <v>101</v>
      </c>
    </row>
    <row r="2" spans="1:9">
      <c r="A2" s="18"/>
      <c r="B2" s="19"/>
      <c r="C2" s="19"/>
      <c r="D2" s="19"/>
      <c r="E2" s="20"/>
      <c r="F2" s="19"/>
      <c r="G2" s="19"/>
      <c r="H2" s="19"/>
      <c r="I2" s="21" t="s">
        <v>17</v>
      </c>
    </row>
    <row r="3" spans="1:9" ht="13.5" customHeight="1">
      <c r="A3" s="498" t="s">
        <v>103</v>
      </c>
      <c r="B3" s="500" t="s">
        <v>104</v>
      </c>
      <c r="C3" s="500"/>
      <c r="D3" s="500"/>
      <c r="E3" s="500"/>
      <c r="F3" s="500" t="s">
        <v>105</v>
      </c>
      <c r="G3" s="500"/>
      <c r="H3" s="500"/>
      <c r="I3" s="500"/>
    </row>
    <row r="4" spans="1:9">
      <c r="A4" s="499"/>
      <c r="B4" s="391" t="s">
        <v>11</v>
      </c>
      <c r="C4" s="391" t="s">
        <v>12</v>
      </c>
      <c r="D4" s="391" t="s">
        <v>106</v>
      </c>
      <c r="E4" s="391" t="s">
        <v>88</v>
      </c>
      <c r="F4" s="391" t="s">
        <v>11</v>
      </c>
      <c r="G4" s="391" t="s">
        <v>12</v>
      </c>
      <c r="H4" s="391" t="s">
        <v>106</v>
      </c>
      <c r="I4" s="391" t="s">
        <v>88</v>
      </c>
    </row>
    <row r="5" spans="1:9">
      <c r="A5" s="43">
        <v>2013</v>
      </c>
      <c r="B5" s="387" t="s">
        <v>23</v>
      </c>
      <c r="C5" s="387" t="s">
        <v>23</v>
      </c>
      <c r="D5" s="387" t="s">
        <v>23</v>
      </c>
      <c r="E5" s="387" t="s">
        <v>23</v>
      </c>
      <c r="F5" s="388">
        <v>9</v>
      </c>
      <c r="G5" s="388">
        <v>64</v>
      </c>
      <c r="H5" s="388">
        <v>16</v>
      </c>
      <c r="I5" s="388">
        <v>11</v>
      </c>
    </row>
    <row r="6" spans="1:9">
      <c r="A6" s="43">
        <v>2014</v>
      </c>
      <c r="B6" s="387" t="s">
        <v>23</v>
      </c>
      <c r="C6" s="387" t="s">
        <v>23</v>
      </c>
      <c r="D6" s="387" t="s">
        <v>23</v>
      </c>
      <c r="E6" s="387" t="s">
        <v>23</v>
      </c>
      <c r="F6" s="388">
        <v>9</v>
      </c>
      <c r="G6" s="388">
        <v>63</v>
      </c>
      <c r="H6" s="388">
        <v>17</v>
      </c>
      <c r="I6" s="388">
        <v>12</v>
      </c>
    </row>
    <row r="7" spans="1:9">
      <c r="A7" s="43">
        <v>2015</v>
      </c>
      <c r="B7" s="387" t="s">
        <v>23</v>
      </c>
      <c r="C7" s="387" t="s">
        <v>23</v>
      </c>
      <c r="D7" s="387" t="s">
        <v>23</v>
      </c>
      <c r="E7" s="387" t="s">
        <v>23</v>
      </c>
      <c r="F7" s="388">
        <v>8</v>
      </c>
      <c r="G7" s="388">
        <v>61</v>
      </c>
      <c r="H7" s="388">
        <v>19</v>
      </c>
      <c r="I7" s="388">
        <v>12</v>
      </c>
    </row>
    <row r="8" spans="1:9">
      <c r="A8" s="43">
        <v>2016</v>
      </c>
      <c r="B8" s="388">
        <v>9</v>
      </c>
      <c r="C8" s="388">
        <v>57</v>
      </c>
      <c r="D8" s="388">
        <v>22</v>
      </c>
      <c r="E8" s="388">
        <v>12</v>
      </c>
      <c r="F8" s="388">
        <v>8</v>
      </c>
      <c r="G8" s="388">
        <v>59</v>
      </c>
      <c r="H8" s="388">
        <v>19</v>
      </c>
      <c r="I8" s="388">
        <v>13</v>
      </c>
    </row>
    <row r="9" spans="1:9">
      <c r="A9" s="43">
        <v>2017</v>
      </c>
      <c r="B9" s="388">
        <v>10</v>
      </c>
      <c r="C9" s="388">
        <v>54</v>
      </c>
      <c r="D9" s="388">
        <v>23</v>
      </c>
      <c r="E9" s="388">
        <v>14</v>
      </c>
      <c r="F9" s="388">
        <v>9</v>
      </c>
      <c r="G9" s="388">
        <v>56</v>
      </c>
      <c r="H9" s="388">
        <v>20</v>
      </c>
      <c r="I9" s="388">
        <v>16</v>
      </c>
    </row>
    <row r="10" spans="1:9">
      <c r="A10" s="43">
        <v>2018</v>
      </c>
      <c r="B10" s="388">
        <v>11</v>
      </c>
      <c r="C10" s="388">
        <v>52</v>
      </c>
      <c r="D10" s="388">
        <v>23</v>
      </c>
      <c r="E10" s="388">
        <v>14</v>
      </c>
      <c r="F10" s="387" t="s">
        <v>23</v>
      </c>
      <c r="G10" s="387" t="s">
        <v>23</v>
      </c>
      <c r="H10" s="387" t="s">
        <v>23</v>
      </c>
      <c r="I10" s="387" t="s">
        <v>23</v>
      </c>
    </row>
    <row r="11" spans="1:9">
      <c r="A11" s="43">
        <v>2019</v>
      </c>
      <c r="B11" s="388">
        <v>10</v>
      </c>
      <c r="C11" s="388">
        <v>50</v>
      </c>
      <c r="D11" s="388">
        <v>24</v>
      </c>
      <c r="E11" s="388">
        <v>16</v>
      </c>
      <c r="F11" s="387" t="s">
        <v>23</v>
      </c>
      <c r="G11" s="387" t="s">
        <v>23</v>
      </c>
      <c r="H11" s="387" t="s">
        <v>23</v>
      </c>
      <c r="I11" s="387" t="s">
        <v>23</v>
      </c>
    </row>
    <row r="12" spans="1:9">
      <c r="A12" s="43">
        <v>2020</v>
      </c>
      <c r="B12" s="388">
        <v>10</v>
      </c>
      <c r="C12" s="388">
        <v>47</v>
      </c>
      <c r="D12" s="388">
        <v>29</v>
      </c>
      <c r="E12" s="388">
        <v>15</v>
      </c>
      <c r="F12" s="387" t="s">
        <v>23</v>
      </c>
      <c r="G12" s="387" t="s">
        <v>23</v>
      </c>
      <c r="H12" s="387" t="s">
        <v>23</v>
      </c>
      <c r="I12" s="387" t="s">
        <v>23</v>
      </c>
    </row>
    <row r="13" spans="1:9">
      <c r="A13" s="43">
        <v>2021</v>
      </c>
      <c r="B13" s="388">
        <v>10</v>
      </c>
      <c r="C13" s="388">
        <v>48</v>
      </c>
      <c r="D13" s="388">
        <v>25</v>
      </c>
      <c r="E13" s="388">
        <v>17</v>
      </c>
      <c r="F13" s="387" t="s">
        <v>23</v>
      </c>
      <c r="G13" s="387" t="s">
        <v>23</v>
      </c>
      <c r="H13" s="387" t="s">
        <v>23</v>
      </c>
      <c r="I13" s="387" t="s">
        <v>23</v>
      </c>
    </row>
    <row r="14" spans="1:9">
      <c r="A14" s="43">
        <v>2022</v>
      </c>
      <c r="B14" s="388">
        <v>9</v>
      </c>
      <c r="C14" s="388">
        <v>47</v>
      </c>
      <c r="D14" s="388">
        <v>25</v>
      </c>
      <c r="E14" s="388">
        <v>18</v>
      </c>
      <c r="F14" s="387" t="s">
        <v>23</v>
      </c>
      <c r="G14" s="387" t="s">
        <v>23</v>
      </c>
      <c r="H14" s="387" t="s">
        <v>23</v>
      </c>
      <c r="I14" s="387" t="s">
        <v>23</v>
      </c>
    </row>
    <row r="15" spans="1:9">
      <c r="A15" s="43">
        <v>2023</v>
      </c>
      <c r="B15" s="388">
        <v>8</v>
      </c>
      <c r="C15" s="388">
        <v>49</v>
      </c>
      <c r="D15" s="388">
        <v>26</v>
      </c>
      <c r="E15" s="388">
        <v>17</v>
      </c>
      <c r="F15" s="387" t="s">
        <v>23</v>
      </c>
      <c r="G15" s="387" t="s">
        <v>23</v>
      </c>
      <c r="H15" s="387" t="s">
        <v>23</v>
      </c>
      <c r="I15" s="387" t="s">
        <v>23</v>
      </c>
    </row>
    <row r="16" spans="1:9">
      <c r="A16" s="44">
        <v>2024</v>
      </c>
      <c r="B16" s="389">
        <v>8</v>
      </c>
      <c r="C16" s="389">
        <v>50</v>
      </c>
      <c r="D16" s="389">
        <v>25</v>
      </c>
      <c r="E16" s="389">
        <v>17</v>
      </c>
      <c r="F16" s="390" t="s">
        <v>23</v>
      </c>
      <c r="G16" s="390" t="s">
        <v>23</v>
      </c>
      <c r="H16" s="390" t="s">
        <v>23</v>
      </c>
      <c r="I16" s="390" t="s">
        <v>23</v>
      </c>
    </row>
    <row r="17" spans="1:9">
      <c r="A17" s="501" t="s">
        <v>138</v>
      </c>
      <c r="B17" s="501"/>
      <c r="C17" s="501"/>
      <c r="D17" s="501"/>
      <c r="E17" s="501"/>
      <c r="F17" s="501"/>
      <c r="G17" s="501"/>
      <c r="H17" s="501"/>
      <c r="I17" s="501"/>
    </row>
    <row r="18" spans="1:9" ht="30" customHeight="1">
      <c r="A18" s="502" t="s">
        <v>145</v>
      </c>
      <c r="B18" s="502"/>
      <c r="C18" s="502"/>
      <c r="D18" s="502"/>
      <c r="E18" s="502"/>
      <c r="F18" s="502"/>
      <c r="G18" s="502"/>
      <c r="H18" s="502"/>
      <c r="I18" s="502"/>
    </row>
    <row r="19" spans="1:9">
      <c r="A19" s="503" t="s">
        <v>102</v>
      </c>
      <c r="B19" s="503"/>
      <c r="C19" s="503"/>
      <c r="D19" s="503"/>
      <c r="E19" s="503"/>
      <c r="F19" s="503"/>
      <c r="G19" s="503"/>
      <c r="H19" s="503"/>
      <c r="I19" s="503"/>
    </row>
    <row r="20" spans="1:9">
      <c r="A20" s="504" t="s">
        <v>16</v>
      </c>
      <c r="B20" s="504"/>
      <c r="C20" s="504"/>
      <c r="D20" s="504"/>
      <c r="E20" s="504"/>
      <c r="F20" s="504"/>
      <c r="G20" s="504"/>
      <c r="H20" s="504"/>
      <c r="I20" s="504"/>
    </row>
    <row r="21" spans="1:9">
      <c r="A21" s="22"/>
      <c r="B21" s="23"/>
      <c r="C21" s="23"/>
      <c r="D21" s="23"/>
      <c r="E21" s="23"/>
      <c r="F21" s="23"/>
      <c r="G21" s="23"/>
      <c r="H21" s="23"/>
      <c r="I21" s="23"/>
    </row>
    <row r="22" spans="1:9">
      <c r="A22" s="22"/>
      <c r="B22" s="23"/>
      <c r="C22" s="23"/>
      <c r="D22" s="23"/>
      <c r="E22" s="23"/>
      <c r="F22" s="23"/>
      <c r="G22" s="23"/>
      <c r="H22" s="23"/>
      <c r="I22" s="23"/>
    </row>
    <row r="23" spans="1:9">
      <c r="A23" s="22"/>
      <c r="B23" s="23"/>
      <c r="C23" s="23"/>
      <c r="D23" s="23"/>
      <c r="E23" s="23"/>
      <c r="F23" s="23"/>
      <c r="G23" s="23"/>
      <c r="H23" s="23"/>
      <c r="I23" s="23"/>
    </row>
    <row r="24" spans="1:9">
      <c r="A24" s="22"/>
      <c r="B24" s="23"/>
      <c r="C24" s="23"/>
      <c r="D24" s="23"/>
      <c r="E24" s="23"/>
      <c r="F24" s="23"/>
      <c r="G24" s="23"/>
      <c r="H24" s="23"/>
      <c r="I24" s="23"/>
    </row>
    <row r="25" spans="1:9">
      <c r="A25" s="22"/>
      <c r="B25" s="23"/>
      <c r="C25" s="23"/>
      <c r="D25" s="23"/>
      <c r="E25" s="23"/>
      <c r="F25" s="23"/>
      <c r="G25" s="23"/>
      <c r="H25" s="23"/>
      <c r="I25" s="23"/>
    </row>
    <row r="26" spans="1:9">
      <c r="A26" s="22"/>
      <c r="B26" s="23"/>
      <c r="C26" s="23"/>
      <c r="D26" s="23"/>
      <c r="E26" s="23"/>
      <c r="F26" s="23"/>
      <c r="G26" s="23"/>
      <c r="H26" s="23"/>
      <c r="I26" s="23"/>
    </row>
    <row r="27" spans="1:9">
      <c r="A27" s="22"/>
      <c r="B27" s="23"/>
      <c r="C27" s="23"/>
      <c r="D27" s="23"/>
      <c r="E27" s="23"/>
      <c r="F27" s="23"/>
      <c r="G27" s="23"/>
      <c r="H27" s="23"/>
      <c r="I27" s="23"/>
    </row>
    <row r="28" spans="1:9">
      <c r="A28" s="22"/>
      <c r="B28" s="23"/>
      <c r="C28" s="23"/>
      <c r="D28" s="23"/>
      <c r="E28" s="23"/>
      <c r="F28" s="23"/>
      <c r="G28" s="23"/>
      <c r="H28" s="23"/>
      <c r="I28" s="23"/>
    </row>
    <row r="29" spans="1:9">
      <c r="A29" s="22"/>
      <c r="B29" s="23"/>
      <c r="C29" s="23"/>
      <c r="D29" s="23"/>
      <c r="E29" s="23"/>
      <c r="F29" s="23"/>
      <c r="G29" s="23"/>
      <c r="H29" s="23"/>
      <c r="I29" s="23"/>
    </row>
    <row r="30" spans="1:9">
      <c r="A30" s="22"/>
      <c r="B30" s="23"/>
      <c r="C30" s="23"/>
      <c r="D30" s="23"/>
      <c r="E30" s="23"/>
      <c r="F30" s="23"/>
      <c r="G30" s="23"/>
      <c r="H30" s="23"/>
      <c r="I30" s="23"/>
    </row>
    <row r="31" spans="1:9">
      <c r="A31" s="25"/>
      <c r="B31" s="23"/>
      <c r="C31" s="23"/>
      <c r="D31" s="23"/>
      <c r="E31" s="23"/>
      <c r="F31" s="23"/>
      <c r="G31" s="23"/>
      <c r="H31" s="23"/>
      <c r="I31" s="23"/>
    </row>
    <row r="32" spans="1:9">
      <c r="A32" s="25"/>
      <c r="B32" s="23"/>
      <c r="C32" s="23"/>
      <c r="D32" s="23"/>
      <c r="E32" s="23"/>
      <c r="F32" s="23"/>
      <c r="G32" s="23"/>
      <c r="H32" s="23"/>
      <c r="I32" s="23"/>
    </row>
    <row r="33" spans="1:9">
      <c r="A33" s="25"/>
      <c r="B33" s="23"/>
      <c r="C33" s="23"/>
      <c r="D33" s="23"/>
      <c r="E33" s="23"/>
      <c r="F33" s="23"/>
      <c r="G33" s="23"/>
      <c r="H33" s="23"/>
      <c r="I33" s="23"/>
    </row>
    <row r="34" spans="1:9">
      <c r="A34" s="25"/>
      <c r="B34" s="19"/>
      <c r="C34" s="19"/>
      <c r="D34" s="19"/>
      <c r="E34" s="20"/>
      <c r="F34" s="26"/>
      <c r="G34" s="26"/>
      <c r="H34" s="26"/>
      <c r="I34" s="20"/>
    </row>
    <row r="35" spans="1:9">
      <c r="A35" s="25"/>
      <c r="B35" s="19"/>
      <c r="C35" s="19"/>
      <c r="D35" s="19"/>
      <c r="E35" s="20"/>
      <c r="F35" s="26"/>
      <c r="G35" s="26"/>
      <c r="H35" s="26"/>
      <c r="I35" s="20"/>
    </row>
    <row r="36" spans="1:9">
      <c r="A36" s="18"/>
      <c r="B36" s="19"/>
      <c r="C36" s="19"/>
      <c r="D36" s="19"/>
      <c r="E36" s="20"/>
      <c r="F36" s="26"/>
      <c r="G36" s="26"/>
      <c r="H36" s="26"/>
      <c r="I36" s="20"/>
    </row>
    <row r="37" spans="1:9">
      <c r="A37" s="25"/>
      <c r="B37" s="497"/>
      <c r="C37" s="497"/>
      <c r="D37" s="497"/>
      <c r="E37" s="497"/>
      <c r="F37" s="497"/>
      <c r="G37" s="497"/>
      <c r="H37" s="497"/>
      <c r="I37" s="497"/>
    </row>
    <row r="38" spans="1:9">
      <c r="A38" s="25"/>
      <c r="B38" s="19"/>
      <c r="C38" s="19"/>
      <c r="D38" s="19"/>
      <c r="E38" s="20"/>
      <c r="F38" s="19"/>
      <c r="G38" s="19"/>
      <c r="H38" s="19"/>
      <c r="I38" s="20"/>
    </row>
    <row r="39" spans="1:9">
      <c r="A39" s="25"/>
      <c r="B39" s="19"/>
      <c r="C39" s="19"/>
      <c r="D39" s="19"/>
      <c r="E39" s="20"/>
      <c r="F39" s="19"/>
      <c r="G39" s="19"/>
      <c r="H39" s="19"/>
      <c r="I39" s="20"/>
    </row>
    <row r="40" spans="1:9">
      <c r="A40" s="25"/>
      <c r="B40" s="19"/>
      <c r="C40" s="19"/>
      <c r="D40" s="19"/>
      <c r="E40" s="20"/>
      <c r="F40" s="19"/>
      <c r="G40" s="19"/>
      <c r="H40" s="19"/>
      <c r="I40" s="20"/>
    </row>
    <row r="41" spans="1:9">
      <c r="A41" s="25"/>
      <c r="B41" s="19"/>
      <c r="C41" s="19"/>
      <c r="D41" s="19"/>
      <c r="E41" s="20"/>
      <c r="F41" s="19"/>
      <c r="G41" s="19"/>
      <c r="H41" s="19"/>
      <c r="I41" s="20"/>
    </row>
    <row r="42" spans="1:9">
      <c r="A42" s="25"/>
      <c r="B42" s="19"/>
      <c r="C42" s="19"/>
      <c r="D42" s="19"/>
      <c r="E42" s="20"/>
      <c r="F42" s="19"/>
      <c r="G42" s="19"/>
      <c r="H42" s="19"/>
      <c r="I42" s="20"/>
    </row>
    <row r="43" spans="1:9">
      <c r="A43" s="25"/>
      <c r="B43" s="19"/>
      <c r="C43" s="19"/>
      <c r="D43" s="19"/>
      <c r="E43" s="20"/>
      <c r="F43" s="19"/>
      <c r="G43" s="19"/>
      <c r="H43" s="19"/>
      <c r="I43" s="20"/>
    </row>
    <row r="44" spans="1:9">
      <c r="A44" s="25"/>
      <c r="B44" s="19"/>
      <c r="C44" s="19"/>
      <c r="D44" s="19"/>
      <c r="E44" s="20"/>
      <c r="F44" s="19"/>
      <c r="G44" s="19"/>
      <c r="H44" s="19"/>
      <c r="I44" s="20"/>
    </row>
    <row r="45" spans="1:9">
      <c r="A45" s="25"/>
      <c r="B45" s="19"/>
      <c r="C45" s="19"/>
      <c r="D45" s="19"/>
      <c r="E45" s="20"/>
      <c r="F45" s="19"/>
      <c r="G45" s="19"/>
      <c r="H45" s="19"/>
      <c r="I45" s="20"/>
    </row>
    <row r="46" spans="1:9">
      <c r="A46" s="25"/>
      <c r="B46" s="19"/>
      <c r="C46" s="19"/>
      <c r="D46" s="19"/>
      <c r="E46" s="20"/>
      <c r="F46" s="19"/>
      <c r="G46" s="19"/>
      <c r="H46" s="19"/>
      <c r="I46" s="20"/>
    </row>
    <row r="47" spans="1:9">
      <c r="A47" s="25"/>
      <c r="B47" s="19"/>
      <c r="C47" s="19"/>
      <c r="D47" s="19"/>
      <c r="E47" s="20"/>
      <c r="F47" s="19"/>
      <c r="G47" s="19"/>
      <c r="H47" s="19"/>
      <c r="I47" s="20"/>
    </row>
    <row r="48" spans="1:9">
      <c r="A48" s="25"/>
      <c r="B48" s="19"/>
      <c r="C48" s="19"/>
      <c r="D48" s="19"/>
      <c r="E48" s="20"/>
      <c r="F48" s="19"/>
      <c r="G48" s="19"/>
      <c r="H48" s="19"/>
      <c r="I48" s="20"/>
    </row>
    <row r="49" spans="1:9">
      <c r="A49" s="25"/>
      <c r="B49" s="19"/>
      <c r="C49" s="19"/>
      <c r="D49" s="19"/>
      <c r="E49" s="20"/>
      <c r="F49" s="19"/>
      <c r="G49" s="19"/>
      <c r="H49" s="19"/>
      <c r="I49" s="20"/>
    </row>
    <row r="50" spans="1:9">
      <c r="A50" s="25"/>
      <c r="B50" s="19"/>
      <c r="C50" s="19"/>
      <c r="D50" s="19"/>
      <c r="E50" s="20"/>
      <c r="F50" s="19"/>
      <c r="G50" s="19"/>
      <c r="H50" s="19"/>
      <c r="I50" s="20"/>
    </row>
    <row r="51" spans="1:9">
      <c r="A51" s="25"/>
      <c r="B51" s="19"/>
      <c r="C51" s="19"/>
      <c r="D51" s="19"/>
      <c r="E51" s="20"/>
      <c r="F51" s="26"/>
      <c r="G51" s="26"/>
      <c r="H51" s="26"/>
      <c r="I51" s="20"/>
    </row>
    <row r="52" spans="1:9">
      <c r="A52" s="18"/>
      <c r="B52" s="19"/>
      <c r="C52" s="19"/>
      <c r="D52" s="19"/>
      <c r="E52" s="20"/>
      <c r="F52" s="26"/>
      <c r="G52" s="26"/>
      <c r="H52" s="26"/>
      <c r="I52" s="20"/>
    </row>
    <row r="53" spans="1:9">
      <c r="A53" s="25"/>
      <c r="B53" s="497"/>
      <c r="C53" s="497"/>
      <c r="D53" s="497"/>
      <c r="E53" s="497"/>
      <c r="F53" s="497"/>
      <c r="G53" s="497"/>
      <c r="H53" s="497"/>
      <c r="I53" s="497"/>
    </row>
    <row r="54" spans="1:9">
      <c r="A54" s="25"/>
      <c r="B54" s="19"/>
      <c r="C54" s="19"/>
      <c r="D54" s="19"/>
      <c r="E54" s="20"/>
      <c r="F54" s="19"/>
      <c r="G54" s="19"/>
      <c r="H54" s="19"/>
      <c r="I54" s="20"/>
    </row>
    <row r="55" spans="1:9">
      <c r="A55" s="25"/>
      <c r="B55" s="19"/>
      <c r="C55" s="19"/>
      <c r="D55" s="19"/>
      <c r="E55" s="20"/>
      <c r="F55" s="19"/>
      <c r="G55" s="19"/>
      <c r="H55" s="19"/>
      <c r="I55" s="20"/>
    </row>
    <row r="56" spans="1:9">
      <c r="A56" s="25"/>
      <c r="B56" s="19"/>
      <c r="C56" s="19"/>
      <c r="D56" s="19"/>
      <c r="E56" s="20"/>
      <c r="F56" s="19"/>
      <c r="G56" s="19"/>
      <c r="H56" s="19"/>
      <c r="I56" s="20"/>
    </row>
    <row r="57" spans="1:9">
      <c r="A57" s="25"/>
      <c r="B57" s="19"/>
      <c r="C57" s="19"/>
      <c r="D57" s="19"/>
      <c r="E57" s="20"/>
      <c r="F57" s="19"/>
      <c r="G57" s="19"/>
      <c r="H57" s="19"/>
      <c r="I57" s="20"/>
    </row>
    <row r="58" spans="1:9">
      <c r="A58" s="25"/>
      <c r="B58" s="19"/>
      <c r="C58" s="19"/>
      <c r="D58" s="19"/>
      <c r="E58" s="20"/>
      <c r="F58" s="19"/>
      <c r="G58" s="19"/>
      <c r="H58" s="19"/>
      <c r="I58" s="20"/>
    </row>
    <row r="59" spans="1:9">
      <c r="A59" s="25"/>
      <c r="B59" s="19"/>
      <c r="C59" s="19"/>
      <c r="D59" s="19"/>
      <c r="E59" s="20"/>
      <c r="F59" s="19"/>
      <c r="G59" s="19"/>
      <c r="H59" s="19"/>
      <c r="I59" s="20"/>
    </row>
    <row r="60" spans="1:9">
      <c r="A60" s="25"/>
      <c r="B60" s="19"/>
      <c r="C60" s="19"/>
      <c r="D60" s="19"/>
      <c r="E60" s="20"/>
      <c r="F60" s="19"/>
      <c r="G60" s="19"/>
      <c r="H60" s="19"/>
      <c r="I60" s="20"/>
    </row>
    <row r="61" spans="1:9">
      <c r="A61" s="25"/>
      <c r="B61" s="19"/>
      <c r="C61" s="19"/>
      <c r="D61" s="19"/>
      <c r="E61" s="20"/>
      <c r="F61" s="19"/>
      <c r="G61" s="19"/>
      <c r="H61" s="19"/>
      <c r="I61" s="20"/>
    </row>
    <row r="62" spans="1:9">
      <c r="A62" s="25"/>
      <c r="B62" s="19"/>
      <c r="C62" s="19"/>
      <c r="D62" s="19"/>
      <c r="E62" s="20"/>
      <c r="F62" s="19"/>
      <c r="G62" s="19"/>
      <c r="H62" s="19"/>
      <c r="I62" s="20"/>
    </row>
    <row r="63" spans="1:9">
      <c r="A63" s="25"/>
      <c r="B63" s="19"/>
      <c r="C63" s="19"/>
      <c r="D63" s="19"/>
      <c r="E63" s="20"/>
      <c r="F63" s="19"/>
      <c r="G63" s="19"/>
      <c r="H63" s="19"/>
      <c r="I63" s="20"/>
    </row>
    <row r="64" spans="1:9">
      <c r="A64" s="25"/>
      <c r="B64" s="19"/>
      <c r="C64" s="19"/>
      <c r="D64" s="19"/>
      <c r="E64" s="20"/>
      <c r="F64" s="19"/>
      <c r="G64" s="19"/>
      <c r="H64" s="19"/>
      <c r="I64" s="20"/>
    </row>
    <row r="65" spans="1:9">
      <c r="A65" s="25"/>
      <c r="B65" s="19"/>
      <c r="C65" s="19"/>
      <c r="D65" s="19"/>
      <c r="E65" s="20"/>
      <c r="F65" s="19"/>
      <c r="G65" s="19"/>
      <c r="H65" s="19"/>
      <c r="I65" s="20"/>
    </row>
    <row r="66" spans="1:9">
      <c r="A66" s="25"/>
      <c r="B66" s="19"/>
      <c r="C66" s="19"/>
      <c r="D66" s="19"/>
      <c r="E66" s="20"/>
      <c r="F66" s="19"/>
      <c r="G66" s="19"/>
      <c r="H66" s="19"/>
      <c r="I66" s="20"/>
    </row>
    <row r="67" spans="1:9">
      <c r="A67" s="22"/>
      <c r="B67" s="23"/>
      <c r="C67" s="23"/>
      <c r="D67" s="23"/>
      <c r="E67" s="24"/>
      <c r="F67" s="23"/>
      <c r="G67" s="23"/>
      <c r="H67" s="23"/>
      <c r="I67" s="24"/>
    </row>
    <row r="68" spans="1:9">
      <c r="A68" s="22"/>
      <c r="B68" s="23"/>
      <c r="C68" s="23"/>
      <c r="D68" s="23"/>
      <c r="E68" s="23"/>
      <c r="F68" s="23"/>
      <c r="G68" s="23"/>
      <c r="H68" s="23"/>
      <c r="I68" s="23"/>
    </row>
    <row r="69" spans="1:9">
      <c r="A69" s="22"/>
      <c r="B69" s="23"/>
      <c r="C69" s="23"/>
      <c r="D69" s="23"/>
      <c r="E69" s="23"/>
      <c r="F69" s="23"/>
      <c r="G69" s="23"/>
      <c r="H69" s="23"/>
      <c r="I69" s="23"/>
    </row>
    <row r="70" spans="1:9">
      <c r="A70" s="22"/>
      <c r="B70" s="23"/>
      <c r="C70" s="23"/>
      <c r="D70" s="23"/>
      <c r="E70" s="23"/>
      <c r="F70" s="23"/>
      <c r="G70" s="23"/>
      <c r="H70" s="23"/>
      <c r="I70" s="23"/>
    </row>
    <row r="71" spans="1:9">
      <c r="A71" s="22"/>
      <c r="B71" s="23"/>
      <c r="C71" s="23"/>
      <c r="D71" s="23"/>
      <c r="E71" s="23"/>
      <c r="F71" s="23"/>
      <c r="G71" s="23"/>
      <c r="H71" s="23"/>
      <c r="I71" s="23"/>
    </row>
    <row r="72" spans="1:9">
      <c r="A72" s="22"/>
      <c r="B72" s="23"/>
      <c r="C72" s="23"/>
      <c r="D72" s="23"/>
      <c r="E72" s="23"/>
      <c r="F72" s="23"/>
      <c r="G72" s="23"/>
      <c r="H72" s="23"/>
      <c r="I72" s="23"/>
    </row>
    <row r="73" spans="1:9">
      <c r="A73" s="22"/>
      <c r="B73" s="23"/>
      <c r="C73" s="23"/>
      <c r="D73" s="23"/>
      <c r="E73" s="23"/>
      <c r="F73" s="23"/>
      <c r="G73" s="23"/>
      <c r="H73" s="23"/>
      <c r="I73" s="23"/>
    </row>
    <row r="74" spans="1:9">
      <c r="A74" s="22"/>
      <c r="B74" s="23"/>
      <c r="C74" s="23"/>
      <c r="D74" s="23"/>
      <c r="E74" s="23"/>
      <c r="F74" s="23"/>
      <c r="G74" s="23"/>
      <c r="H74" s="23"/>
      <c r="I74" s="23"/>
    </row>
    <row r="75" spans="1:9">
      <c r="A75" s="22"/>
      <c r="B75" s="23"/>
      <c r="C75" s="23"/>
      <c r="D75" s="23"/>
      <c r="E75" s="23"/>
      <c r="F75" s="23"/>
      <c r="G75" s="23"/>
      <c r="H75" s="23"/>
      <c r="I75" s="23"/>
    </row>
    <row r="76" spans="1:9">
      <c r="A76" s="22"/>
      <c r="B76" s="23"/>
      <c r="C76" s="23"/>
      <c r="D76" s="23"/>
      <c r="E76" s="23"/>
      <c r="F76" s="23"/>
      <c r="G76" s="23"/>
      <c r="H76" s="23"/>
      <c r="I76" s="23"/>
    </row>
    <row r="77" spans="1:9">
      <c r="A77" s="22"/>
      <c r="B77" s="23"/>
      <c r="C77" s="23"/>
      <c r="D77" s="23"/>
      <c r="E77" s="23"/>
      <c r="F77" s="23"/>
      <c r="G77" s="23"/>
      <c r="H77" s="23"/>
      <c r="I77" s="23"/>
    </row>
    <row r="78" spans="1:9">
      <c r="A78" s="22"/>
      <c r="B78" s="23"/>
      <c r="C78" s="23"/>
      <c r="D78" s="23"/>
      <c r="E78" s="23"/>
      <c r="F78" s="23"/>
      <c r="G78" s="23"/>
      <c r="H78" s="23"/>
      <c r="I78" s="23"/>
    </row>
    <row r="79" spans="1:9">
      <c r="B79" s="23"/>
      <c r="C79" s="23"/>
      <c r="D79" s="23"/>
      <c r="E79" s="23"/>
      <c r="F79" s="23"/>
      <c r="G79" s="23"/>
      <c r="H79" s="23"/>
      <c r="I79" s="23"/>
    </row>
    <row r="81" spans="2:9">
      <c r="B81" s="23"/>
      <c r="C81" s="23"/>
      <c r="D81" s="23"/>
      <c r="E81" s="23"/>
      <c r="F81" s="23"/>
      <c r="G81" s="23"/>
      <c r="H81" s="23"/>
      <c r="I81" s="23"/>
    </row>
    <row r="82" spans="2:9">
      <c r="B82" s="23"/>
      <c r="C82" s="23"/>
      <c r="D82" s="23"/>
      <c r="E82" s="23"/>
      <c r="F82" s="23"/>
      <c r="G82" s="23"/>
      <c r="H82" s="23"/>
      <c r="I82" s="23"/>
    </row>
    <row r="83" spans="2:9">
      <c r="B83" s="23"/>
      <c r="C83" s="23"/>
      <c r="D83" s="23"/>
      <c r="E83" s="23"/>
      <c r="F83" s="23"/>
      <c r="G83" s="23"/>
      <c r="H83" s="23"/>
      <c r="I83" s="23"/>
    </row>
    <row r="84" spans="2:9">
      <c r="B84" s="23"/>
      <c r="C84" s="23"/>
      <c r="D84" s="23"/>
      <c r="E84" s="23"/>
      <c r="F84" s="23"/>
      <c r="G84" s="23"/>
      <c r="H84" s="23"/>
      <c r="I84" s="23"/>
    </row>
    <row r="85" spans="2:9">
      <c r="B85" s="23"/>
      <c r="C85" s="23"/>
      <c r="D85" s="23"/>
      <c r="E85" s="23"/>
      <c r="F85" s="23"/>
      <c r="G85" s="23"/>
      <c r="H85" s="23"/>
      <c r="I85" s="23"/>
    </row>
    <row r="86" spans="2:9">
      <c r="B86" s="23"/>
      <c r="C86" s="23"/>
      <c r="D86" s="23"/>
      <c r="E86" s="23"/>
      <c r="F86" s="23"/>
      <c r="G86" s="23"/>
      <c r="H86" s="23"/>
      <c r="I86" s="23"/>
    </row>
    <row r="87" spans="2:9">
      <c r="B87" s="23"/>
      <c r="C87" s="23"/>
      <c r="D87" s="23"/>
      <c r="E87" s="23"/>
      <c r="F87" s="23"/>
      <c r="G87" s="23"/>
      <c r="H87" s="23"/>
      <c r="I87" s="23"/>
    </row>
    <row r="88" spans="2:9">
      <c r="B88" s="23"/>
      <c r="C88" s="23"/>
      <c r="D88" s="23"/>
      <c r="E88" s="23"/>
      <c r="F88" s="23"/>
      <c r="G88" s="23"/>
      <c r="H88" s="23"/>
      <c r="I88" s="23"/>
    </row>
    <row r="89" spans="2:9">
      <c r="B89" s="23"/>
      <c r="C89" s="23"/>
      <c r="D89" s="23"/>
      <c r="E89" s="23"/>
      <c r="F89" s="23"/>
      <c r="G89" s="23"/>
      <c r="H89" s="23"/>
      <c r="I89" s="23"/>
    </row>
    <row r="90" spans="2:9">
      <c r="B90" s="23"/>
      <c r="C90" s="23"/>
      <c r="D90" s="23"/>
      <c r="E90" s="23"/>
      <c r="F90" s="23"/>
      <c r="G90" s="23"/>
      <c r="H90" s="23"/>
      <c r="I90" s="23"/>
    </row>
    <row r="91" spans="2:9">
      <c r="B91" s="23"/>
      <c r="C91" s="23"/>
      <c r="D91" s="23"/>
      <c r="E91" s="23"/>
      <c r="F91" s="23"/>
      <c r="G91" s="23"/>
      <c r="H91" s="23"/>
      <c r="I91" s="23"/>
    </row>
    <row r="92" spans="2:9">
      <c r="B92" s="23"/>
      <c r="C92" s="23"/>
      <c r="D92" s="23"/>
      <c r="E92" s="23"/>
      <c r="F92" s="23"/>
      <c r="G92" s="23"/>
      <c r="H92" s="23"/>
      <c r="I92" s="23"/>
    </row>
  </sheetData>
  <mergeCells count="11">
    <mergeCell ref="B53:E53"/>
    <mergeCell ref="F53:I53"/>
    <mergeCell ref="A3:A4"/>
    <mergeCell ref="B3:E3"/>
    <mergeCell ref="F3:I3"/>
    <mergeCell ref="B37:E37"/>
    <mergeCell ref="F37:I37"/>
    <mergeCell ref="A17:I17"/>
    <mergeCell ref="A18:I18"/>
    <mergeCell ref="A19:I19"/>
    <mergeCell ref="A20:I20"/>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7"/>
  <sheetViews>
    <sheetView zoomScaleNormal="100" workbookViewId="0"/>
  </sheetViews>
  <sheetFormatPr baseColWidth="10" defaultColWidth="10.625" defaultRowHeight="12.75" customHeight="1"/>
  <cols>
    <col min="1" max="1" width="26.875" style="1" customWidth="1"/>
    <col min="2" max="11" width="10.625" style="1" customWidth="1"/>
    <col min="12" max="16384" width="10.625" style="1"/>
  </cols>
  <sheetData>
    <row r="1" spans="1:11" s="14" customFormat="1" ht="13.5" customHeight="1">
      <c r="A1" s="46" t="s">
        <v>139</v>
      </c>
      <c r="B1" s="47"/>
      <c r="C1" s="46"/>
      <c r="D1" s="47"/>
      <c r="E1" s="48"/>
      <c r="F1" s="47"/>
      <c r="G1" s="46"/>
      <c r="H1" s="48"/>
      <c r="I1" s="47"/>
      <c r="J1" s="46"/>
      <c r="K1" s="46"/>
    </row>
    <row r="2" spans="1:11">
      <c r="A2" s="39"/>
      <c r="B2" s="49"/>
      <c r="C2" s="49"/>
      <c r="D2" s="49"/>
      <c r="E2" s="49"/>
      <c r="F2" s="49"/>
      <c r="G2" s="49"/>
      <c r="H2" s="49"/>
      <c r="I2" s="49"/>
      <c r="J2" s="49"/>
      <c r="K2" s="50" t="s">
        <v>17</v>
      </c>
    </row>
    <row r="3" spans="1:11" ht="12" customHeight="1">
      <c r="A3" s="508" t="s">
        <v>18</v>
      </c>
      <c r="B3" s="509" t="s">
        <v>84</v>
      </c>
      <c r="C3" s="509"/>
      <c r="D3" s="509"/>
      <c r="E3" s="510" t="s">
        <v>26</v>
      </c>
      <c r="F3" s="510"/>
      <c r="G3" s="510"/>
      <c r="H3" s="510" t="s">
        <v>27</v>
      </c>
      <c r="I3" s="510"/>
      <c r="J3" s="510"/>
      <c r="K3" s="511" t="s">
        <v>9</v>
      </c>
    </row>
    <row r="4" spans="1:11" s="27" customFormat="1" ht="30" customHeight="1">
      <c r="A4" s="508"/>
      <c r="B4" s="51" t="s">
        <v>3</v>
      </c>
      <c r="C4" s="52" t="s">
        <v>172</v>
      </c>
      <c r="D4" s="53" t="s">
        <v>42</v>
      </c>
      <c r="E4" s="51" t="s">
        <v>3</v>
      </c>
      <c r="F4" s="52" t="s">
        <v>172</v>
      </c>
      <c r="G4" s="54" t="s">
        <v>42</v>
      </c>
      <c r="H4" s="51" t="s">
        <v>3</v>
      </c>
      <c r="I4" s="52" t="s">
        <v>172</v>
      </c>
      <c r="J4" s="54" t="s">
        <v>42</v>
      </c>
      <c r="K4" s="511"/>
    </row>
    <row r="5" spans="1:11">
      <c r="A5" s="55" t="s">
        <v>21</v>
      </c>
      <c r="B5" s="158">
        <v>333</v>
      </c>
      <c r="C5" s="392">
        <v>83</v>
      </c>
      <c r="D5" s="393">
        <v>788</v>
      </c>
      <c r="E5" s="158">
        <v>1263</v>
      </c>
      <c r="F5" s="392">
        <v>357</v>
      </c>
      <c r="G5" s="394">
        <v>461</v>
      </c>
      <c r="H5" s="158">
        <v>559</v>
      </c>
      <c r="I5" s="392">
        <v>117</v>
      </c>
      <c r="J5" s="394">
        <v>170</v>
      </c>
      <c r="K5" s="159">
        <v>4130</v>
      </c>
    </row>
    <row r="6" spans="1:11" s="4" customFormat="1">
      <c r="A6" s="56" t="s">
        <v>43</v>
      </c>
      <c r="B6" s="154">
        <v>4</v>
      </c>
      <c r="C6" s="395">
        <v>1</v>
      </c>
      <c r="D6" s="396">
        <v>10</v>
      </c>
      <c r="E6" s="154">
        <v>6</v>
      </c>
      <c r="F6" s="395">
        <v>2</v>
      </c>
      <c r="G6" s="397">
        <v>2</v>
      </c>
      <c r="H6" s="154">
        <v>4</v>
      </c>
      <c r="I6" s="395">
        <v>1</v>
      </c>
      <c r="J6" s="397">
        <v>1</v>
      </c>
      <c r="K6" s="159">
        <v>100</v>
      </c>
    </row>
    <row r="7" spans="1:11" s="4" customFormat="1" ht="30" customHeight="1">
      <c r="A7" s="56" t="s">
        <v>107</v>
      </c>
      <c r="B7" s="154">
        <v>28</v>
      </c>
      <c r="C7" s="395">
        <v>7</v>
      </c>
      <c r="D7" s="396">
        <v>65</v>
      </c>
      <c r="E7" s="154">
        <v>61</v>
      </c>
      <c r="F7" s="395">
        <v>17</v>
      </c>
      <c r="G7" s="397">
        <v>22</v>
      </c>
      <c r="H7" s="154">
        <v>66</v>
      </c>
      <c r="I7" s="395">
        <v>14</v>
      </c>
      <c r="J7" s="397">
        <v>20</v>
      </c>
      <c r="K7" s="159">
        <v>100</v>
      </c>
    </row>
    <row r="8" spans="1:11">
      <c r="A8" s="57" t="s">
        <v>197</v>
      </c>
      <c r="B8" s="154">
        <v>82</v>
      </c>
      <c r="C8" s="395">
        <v>87</v>
      </c>
      <c r="D8" s="396">
        <v>52</v>
      </c>
      <c r="E8" s="154">
        <v>95</v>
      </c>
      <c r="F8" s="395">
        <v>96</v>
      </c>
      <c r="G8" s="397">
        <v>83</v>
      </c>
      <c r="H8" s="154">
        <v>98</v>
      </c>
      <c r="I8" s="395">
        <v>99</v>
      </c>
      <c r="J8" s="397">
        <v>96</v>
      </c>
      <c r="K8" s="159">
        <v>85</v>
      </c>
    </row>
    <row r="9" spans="1:11">
      <c r="A9" s="442" t="s">
        <v>32</v>
      </c>
      <c r="B9" s="154">
        <v>13</v>
      </c>
      <c r="C9" s="395">
        <v>18</v>
      </c>
      <c r="D9" s="396">
        <v>10</v>
      </c>
      <c r="E9" s="154">
        <v>41</v>
      </c>
      <c r="F9" s="395">
        <v>42</v>
      </c>
      <c r="G9" s="397">
        <v>36</v>
      </c>
      <c r="H9" s="154">
        <v>55</v>
      </c>
      <c r="I9" s="395">
        <v>49</v>
      </c>
      <c r="J9" s="397">
        <v>48</v>
      </c>
      <c r="K9" s="159">
        <v>34</v>
      </c>
    </row>
    <row r="10" spans="1:11">
      <c r="A10" s="442" t="s">
        <v>33</v>
      </c>
      <c r="B10" s="154">
        <v>53</v>
      </c>
      <c r="C10" s="395">
        <v>54</v>
      </c>
      <c r="D10" s="396">
        <v>34</v>
      </c>
      <c r="E10" s="154">
        <v>47</v>
      </c>
      <c r="F10" s="395">
        <v>45</v>
      </c>
      <c r="G10" s="397">
        <v>33</v>
      </c>
      <c r="H10" s="154">
        <v>40</v>
      </c>
      <c r="I10" s="395">
        <v>42</v>
      </c>
      <c r="J10" s="397">
        <v>31</v>
      </c>
      <c r="K10" s="159">
        <v>42</v>
      </c>
    </row>
    <row r="11" spans="1:11">
      <c r="A11" s="442" t="s">
        <v>34</v>
      </c>
      <c r="B11" s="154">
        <v>15</v>
      </c>
      <c r="C11" s="395">
        <v>12</v>
      </c>
      <c r="D11" s="396">
        <v>7</v>
      </c>
      <c r="E11" s="154">
        <v>3</v>
      </c>
      <c r="F11" s="395">
        <v>1</v>
      </c>
      <c r="G11" s="397">
        <v>3</v>
      </c>
      <c r="H11" s="154">
        <v>0</v>
      </c>
      <c r="I11" s="395">
        <v>0</v>
      </c>
      <c r="J11" s="397">
        <v>0</v>
      </c>
      <c r="K11" s="159">
        <v>4</v>
      </c>
    </row>
    <row r="12" spans="1:11">
      <c r="A12" s="443" t="s">
        <v>108</v>
      </c>
      <c r="B12" s="437">
        <v>1</v>
      </c>
      <c r="C12" s="438">
        <v>2</v>
      </c>
      <c r="D12" s="439">
        <v>1</v>
      </c>
      <c r="E12" s="437">
        <v>4</v>
      </c>
      <c r="F12" s="438">
        <v>8</v>
      </c>
      <c r="G12" s="440">
        <v>11</v>
      </c>
      <c r="H12" s="437">
        <v>3</v>
      </c>
      <c r="I12" s="438">
        <v>9</v>
      </c>
      <c r="J12" s="440">
        <v>17</v>
      </c>
      <c r="K12" s="441">
        <v>5</v>
      </c>
    </row>
    <row r="13" spans="1:11" ht="30" customHeight="1">
      <c r="A13" s="507" t="s">
        <v>182</v>
      </c>
      <c r="B13" s="507"/>
      <c r="C13" s="507"/>
      <c r="D13" s="507"/>
      <c r="E13" s="507"/>
      <c r="F13" s="507"/>
      <c r="G13" s="507"/>
      <c r="H13" s="507"/>
      <c r="I13" s="507"/>
      <c r="J13" s="507"/>
      <c r="K13" s="507"/>
    </row>
    <row r="14" spans="1:11">
      <c r="A14" s="505" t="s">
        <v>193</v>
      </c>
      <c r="B14" s="505"/>
      <c r="C14" s="505"/>
      <c r="D14" s="505"/>
      <c r="E14" s="505"/>
      <c r="F14" s="505"/>
      <c r="G14" s="505"/>
      <c r="H14" s="505"/>
      <c r="I14" s="505"/>
      <c r="J14" s="505"/>
      <c r="K14" s="505"/>
    </row>
    <row r="15" spans="1:11">
      <c r="A15" s="506" t="s">
        <v>16</v>
      </c>
      <c r="B15" s="506"/>
      <c r="C15" s="506"/>
      <c r="D15" s="506"/>
      <c r="E15" s="506"/>
      <c r="F15" s="506"/>
      <c r="G15" s="506"/>
      <c r="H15" s="506"/>
      <c r="I15" s="506"/>
      <c r="J15" s="506"/>
      <c r="K15" s="506"/>
    </row>
    <row r="16" spans="1:11">
      <c r="A16" s="28"/>
      <c r="B16" s="13"/>
      <c r="C16" s="13"/>
      <c r="D16" s="13"/>
      <c r="E16" s="13"/>
      <c r="F16" s="13"/>
      <c r="G16" s="13"/>
      <c r="H16" s="13"/>
      <c r="I16" s="13"/>
      <c r="J16" s="13"/>
      <c r="K16" s="13"/>
    </row>
    <row r="17" spans="1:11">
      <c r="A17" s="28"/>
      <c r="B17" s="13"/>
      <c r="C17" s="13"/>
      <c r="D17" s="13"/>
      <c r="E17" s="13"/>
      <c r="F17" s="13"/>
      <c r="G17" s="13"/>
      <c r="H17" s="13"/>
      <c r="I17" s="13"/>
      <c r="J17" s="13"/>
      <c r="K17" s="13"/>
    </row>
    <row r="18" spans="1:11">
      <c r="A18" s="28"/>
      <c r="B18" s="13"/>
      <c r="C18" s="13"/>
      <c r="D18" s="13"/>
      <c r="E18" s="13"/>
      <c r="F18" s="13"/>
      <c r="G18" s="13"/>
      <c r="H18" s="13"/>
      <c r="I18" s="13"/>
      <c r="J18" s="13"/>
      <c r="K18" s="13"/>
    </row>
    <row r="19" spans="1:11">
      <c r="A19" s="28"/>
      <c r="B19" s="13"/>
      <c r="C19" s="13"/>
      <c r="D19" s="13"/>
      <c r="E19" s="13"/>
      <c r="F19" s="13"/>
      <c r="G19" s="13"/>
      <c r="H19" s="13"/>
      <c r="I19" s="13"/>
      <c r="J19" s="13"/>
      <c r="K19" s="13"/>
    </row>
    <row r="20" spans="1:11">
      <c r="A20" s="28"/>
      <c r="B20" s="13"/>
      <c r="C20" s="13"/>
      <c r="D20" s="13"/>
      <c r="E20" s="13"/>
      <c r="F20" s="13"/>
      <c r="G20" s="13"/>
      <c r="H20" s="13"/>
      <c r="I20" s="13"/>
      <c r="J20" s="13"/>
      <c r="K20" s="13"/>
    </row>
    <row r="21" spans="1:11">
      <c r="B21" s="3"/>
      <c r="C21" s="3"/>
      <c r="D21" s="3"/>
      <c r="E21" s="3"/>
      <c r="F21" s="3"/>
      <c r="G21" s="3"/>
      <c r="H21" s="3"/>
      <c r="I21" s="3"/>
      <c r="J21" s="3"/>
      <c r="K21" s="3"/>
    </row>
    <row r="22" spans="1:11">
      <c r="B22" s="3"/>
      <c r="C22" s="3"/>
      <c r="D22" s="3"/>
      <c r="E22" s="3"/>
      <c r="F22" s="3"/>
      <c r="G22" s="3"/>
      <c r="H22" s="3"/>
      <c r="I22" s="3"/>
      <c r="J22" s="3"/>
      <c r="K22" s="3"/>
    </row>
    <row r="23" spans="1:11">
      <c r="B23" s="3"/>
      <c r="C23" s="3"/>
      <c r="D23" s="3"/>
      <c r="E23" s="3"/>
      <c r="F23" s="3"/>
      <c r="G23" s="3"/>
      <c r="H23" s="3"/>
      <c r="I23" s="3"/>
      <c r="J23" s="3"/>
      <c r="K23" s="3"/>
    </row>
    <row r="24" spans="1:11">
      <c r="B24" s="3"/>
      <c r="C24" s="3"/>
      <c r="D24" s="3"/>
      <c r="E24" s="3"/>
      <c r="F24" s="3"/>
      <c r="G24" s="3"/>
      <c r="H24" s="3"/>
      <c r="I24" s="3"/>
      <c r="J24" s="3"/>
      <c r="K24" s="3"/>
    </row>
    <row r="25" spans="1:11">
      <c r="B25" s="3"/>
      <c r="C25" s="3"/>
      <c r="D25" s="3"/>
      <c r="E25" s="3"/>
      <c r="F25" s="3"/>
      <c r="G25" s="3"/>
      <c r="H25" s="3"/>
      <c r="I25" s="3"/>
      <c r="J25" s="3"/>
      <c r="K25" s="3"/>
    </row>
    <row r="26" spans="1:11">
      <c r="B26" s="3"/>
      <c r="C26" s="3"/>
      <c r="D26" s="3"/>
      <c r="E26" s="3"/>
      <c r="F26" s="3"/>
      <c r="G26" s="3"/>
      <c r="H26" s="3"/>
      <c r="I26" s="3"/>
      <c r="J26" s="3"/>
      <c r="K26" s="3"/>
    </row>
    <row r="27" spans="1:11">
      <c r="B27" s="3"/>
      <c r="C27" s="3"/>
      <c r="D27" s="3"/>
      <c r="E27" s="3"/>
      <c r="F27" s="3"/>
      <c r="G27" s="3"/>
      <c r="H27" s="3"/>
      <c r="I27" s="3"/>
      <c r="J27" s="3"/>
      <c r="K27" s="3"/>
    </row>
    <row r="28" spans="1:11">
      <c r="B28" s="3"/>
      <c r="C28" s="3"/>
      <c r="D28" s="3"/>
      <c r="E28" s="3"/>
      <c r="F28" s="3"/>
      <c r="G28" s="3"/>
      <c r="H28" s="3"/>
      <c r="I28" s="3"/>
      <c r="J28" s="3"/>
      <c r="K28" s="3"/>
    </row>
    <row r="29" spans="1:11">
      <c r="B29" s="3"/>
      <c r="C29" s="3"/>
      <c r="D29" s="3"/>
      <c r="E29" s="3"/>
      <c r="F29" s="3"/>
      <c r="G29" s="3"/>
      <c r="H29" s="3"/>
      <c r="I29" s="3"/>
      <c r="J29" s="3"/>
      <c r="K29" s="3"/>
    </row>
    <row r="30" spans="1:11">
      <c r="B30" s="3"/>
      <c r="C30" s="3"/>
      <c r="D30" s="3"/>
      <c r="E30" s="3"/>
      <c r="F30" s="3"/>
      <c r="G30" s="3"/>
      <c r="H30" s="3"/>
      <c r="I30" s="3"/>
      <c r="J30" s="3"/>
      <c r="K30" s="3"/>
    </row>
    <row r="31" spans="1:11">
      <c r="B31" s="3"/>
      <c r="C31" s="3"/>
      <c r="D31" s="3"/>
      <c r="E31" s="3"/>
      <c r="F31" s="3"/>
      <c r="G31" s="3"/>
      <c r="H31" s="3"/>
      <c r="I31" s="3"/>
      <c r="J31" s="3"/>
      <c r="K31" s="3"/>
    </row>
    <row r="32" spans="1:11">
      <c r="B32" s="3"/>
      <c r="C32" s="3"/>
      <c r="D32" s="3"/>
      <c r="E32" s="3"/>
      <c r="F32" s="3"/>
      <c r="G32" s="3"/>
      <c r="H32" s="3"/>
      <c r="I32" s="3"/>
      <c r="J32" s="3"/>
      <c r="K32" s="3"/>
    </row>
    <row r="33" spans="2:11">
      <c r="B33" s="3"/>
      <c r="C33" s="3"/>
      <c r="D33" s="3"/>
      <c r="E33" s="3"/>
      <c r="F33" s="3"/>
      <c r="G33" s="3"/>
      <c r="H33" s="3"/>
      <c r="I33" s="3"/>
      <c r="J33" s="3"/>
      <c r="K33" s="3"/>
    </row>
    <row r="34" spans="2:11">
      <c r="B34" s="3"/>
      <c r="C34" s="3"/>
      <c r="D34" s="3"/>
      <c r="E34" s="3"/>
      <c r="F34" s="3"/>
      <c r="G34" s="3"/>
      <c r="H34" s="3"/>
      <c r="I34" s="3"/>
      <c r="J34" s="3"/>
      <c r="K34" s="3"/>
    </row>
    <row r="35" spans="2:11">
      <c r="B35" s="3"/>
      <c r="C35" s="3"/>
      <c r="D35" s="3"/>
      <c r="E35" s="3"/>
      <c r="F35" s="3"/>
      <c r="G35" s="3"/>
      <c r="H35" s="3"/>
      <c r="I35" s="3"/>
      <c r="J35" s="3"/>
      <c r="K35" s="3"/>
    </row>
    <row r="36" spans="2:11">
      <c r="B36" s="3"/>
      <c r="C36" s="3"/>
      <c r="D36" s="3"/>
      <c r="E36" s="3"/>
      <c r="F36" s="3"/>
      <c r="G36" s="3"/>
      <c r="H36" s="3"/>
      <c r="I36" s="3"/>
      <c r="J36" s="3"/>
      <c r="K36" s="3"/>
    </row>
    <row r="37" spans="2:11">
      <c r="B37" s="3"/>
      <c r="C37" s="3"/>
      <c r="D37" s="3"/>
      <c r="E37" s="3"/>
      <c r="F37" s="3"/>
      <c r="G37" s="3"/>
      <c r="H37" s="3"/>
      <c r="I37" s="3"/>
      <c r="J37" s="3"/>
      <c r="K37" s="3"/>
    </row>
  </sheetData>
  <mergeCells count="8">
    <mergeCell ref="A14:K14"/>
    <mergeCell ref="A15:K15"/>
    <mergeCell ref="A13:K13"/>
    <mergeCell ref="A3:A4"/>
    <mergeCell ref="B3:D3"/>
    <mergeCell ref="E3:G3"/>
    <mergeCell ref="H3:J3"/>
    <mergeCell ref="K3:K4"/>
  </mergeCells>
  <pageMargins left="0.78749999999999998" right="0.78749999999999998" top="1.0236111111111099" bottom="1.0236111111111099" header="0.78749999999999998" footer="0.78749999999999998"/>
  <pageSetup paperSize="9" orientation="landscape"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5"/>
  <sheetViews>
    <sheetView zoomScaleNormal="100" workbookViewId="0"/>
  </sheetViews>
  <sheetFormatPr baseColWidth="10" defaultColWidth="10.625" defaultRowHeight="12.75" customHeight="1"/>
  <cols>
    <col min="1" max="1" width="58.625" style="72" customWidth="1"/>
    <col min="2" max="9" width="12.625" style="72" customWidth="1"/>
    <col min="10" max="16384" width="10.625" style="72"/>
  </cols>
  <sheetData>
    <row r="1" spans="1:9" s="324" customFormat="1" ht="13.5" customHeight="1">
      <c r="A1" s="398" t="s">
        <v>140</v>
      </c>
      <c r="B1" s="399"/>
      <c r="C1" s="398"/>
      <c r="D1" s="399"/>
      <c r="E1" s="398"/>
      <c r="F1" s="399"/>
      <c r="G1" s="398"/>
      <c r="H1" s="399"/>
      <c r="I1" s="398"/>
    </row>
    <row r="2" spans="1:9">
      <c r="B2" s="236"/>
      <c r="C2" s="236"/>
      <c r="D2" s="236"/>
      <c r="E2" s="236"/>
      <c r="F2" s="236"/>
      <c r="G2" s="236"/>
      <c r="H2" s="236"/>
      <c r="I2" s="400"/>
    </row>
    <row r="3" spans="1:9" ht="30" customHeight="1">
      <c r="A3" s="474" t="s">
        <v>18</v>
      </c>
      <c r="B3" s="513" t="s">
        <v>185</v>
      </c>
      <c r="C3" s="513"/>
      <c r="D3" s="513"/>
      <c r="E3" s="513"/>
      <c r="F3" s="513" t="s">
        <v>186</v>
      </c>
      <c r="G3" s="513"/>
      <c r="H3" s="513"/>
      <c r="I3" s="513"/>
    </row>
    <row r="4" spans="1:9" s="244" customFormat="1" ht="15" customHeight="1">
      <c r="A4" s="474"/>
      <c r="B4" s="401" t="s">
        <v>84</v>
      </c>
      <c r="C4" s="402" t="s">
        <v>26</v>
      </c>
      <c r="D4" s="403" t="s">
        <v>27</v>
      </c>
      <c r="E4" s="404" t="s">
        <v>9</v>
      </c>
      <c r="F4" s="401" t="s">
        <v>84</v>
      </c>
      <c r="G4" s="402" t="s">
        <v>26</v>
      </c>
      <c r="H4" s="403" t="s">
        <v>27</v>
      </c>
      <c r="I4" s="405" t="s">
        <v>9</v>
      </c>
    </row>
    <row r="5" spans="1:9" ht="13.5" customHeight="1">
      <c r="A5" s="307" t="s">
        <v>21</v>
      </c>
      <c r="B5" s="312">
        <v>1204</v>
      </c>
      <c r="C5" s="406">
        <v>2081</v>
      </c>
      <c r="D5" s="407">
        <v>845</v>
      </c>
      <c r="E5" s="408">
        <v>4130</v>
      </c>
      <c r="F5" s="312">
        <v>112</v>
      </c>
      <c r="G5" s="406">
        <v>-169</v>
      </c>
      <c r="H5" s="409">
        <v>-81</v>
      </c>
      <c r="I5" s="313">
        <v>-137</v>
      </c>
    </row>
    <row r="6" spans="1:9" ht="13.5" customHeight="1">
      <c r="A6" s="250" t="s">
        <v>43</v>
      </c>
      <c r="B6" s="251">
        <v>15</v>
      </c>
      <c r="C6" s="410">
        <v>10</v>
      </c>
      <c r="D6" s="411">
        <v>7</v>
      </c>
      <c r="E6" s="408">
        <v>10</v>
      </c>
      <c r="F6" s="251">
        <v>1</v>
      </c>
      <c r="G6" s="410">
        <v>-1</v>
      </c>
      <c r="H6" s="412">
        <v>-1</v>
      </c>
      <c r="I6" s="313">
        <v>0</v>
      </c>
    </row>
    <row r="7" spans="1:9">
      <c r="A7" s="250" t="s">
        <v>109</v>
      </c>
      <c r="B7" s="251">
        <v>29</v>
      </c>
      <c r="C7" s="410">
        <v>50</v>
      </c>
      <c r="D7" s="411">
        <v>21</v>
      </c>
      <c r="E7" s="408">
        <v>100</v>
      </c>
      <c r="F7" s="251">
        <v>4</v>
      </c>
      <c r="G7" s="410">
        <v>-2</v>
      </c>
      <c r="H7" s="412">
        <v>-1</v>
      </c>
      <c r="I7" s="313">
        <v>0</v>
      </c>
    </row>
    <row r="8" spans="1:9" ht="13.5" customHeight="1">
      <c r="A8" s="413" t="s">
        <v>110</v>
      </c>
      <c r="B8" s="251">
        <v>35</v>
      </c>
      <c r="C8" s="410">
        <v>78</v>
      </c>
      <c r="D8" s="411">
        <v>80</v>
      </c>
      <c r="E8" s="408">
        <v>66</v>
      </c>
      <c r="F8" s="251">
        <v>-6</v>
      </c>
      <c r="G8" s="410">
        <v>-3</v>
      </c>
      <c r="H8" s="412">
        <v>-2</v>
      </c>
      <c r="I8" s="313">
        <v>-5</v>
      </c>
    </row>
    <row r="9" spans="1:9" ht="13.5" customHeight="1">
      <c r="A9" s="413" t="s">
        <v>183</v>
      </c>
      <c r="B9" s="251">
        <v>63</v>
      </c>
      <c r="C9" s="410">
        <v>64</v>
      </c>
      <c r="D9" s="411">
        <v>60</v>
      </c>
      <c r="E9" s="408">
        <v>63</v>
      </c>
      <c r="F9" s="251">
        <v>0</v>
      </c>
      <c r="G9" s="410">
        <v>2</v>
      </c>
      <c r="H9" s="412">
        <v>2</v>
      </c>
      <c r="I9" s="313">
        <v>1</v>
      </c>
    </row>
    <row r="10" spans="1:9" s="94" customFormat="1" ht="30" customHeight="1">
      <c r="A10" s="414" t="s">
        <v>194</v>
      </c>
      <c r="B10" s="251">
        <v>28</v>
      </c>
      <c r="C10" s="410">
        <v>44</v>
      </c>
      <c r="D10" s="411">
        <v>44</v>
      </c>
      <c r="E10" s="408">
        <v>39</v>
      </c>
      <c r="F10" s="251">
        <v>-3</v>
      </c>
      <c r="G10" s="410">
        <v>2</v>
      </c>
      <c r="H10" s="412">
        <v>4</v>
      </c>
      <c r="I10" s="313">
        <v>0</v>
      </c>
    </row>
    <row r="11" spans="1:9" s="94" customFormat="1" ht="30" customHeight="1">
      <c r="A11" s="414" t="s">
        <v>111</v>
      </c>
      <c r="B11" s="251">
        <v>23</v>
      </c>
      <c r="C11" s="410">
        <v>26</v>
      </c>
      <c r="D11" s="411">
        <v>23</v>
      </c>
      <c r="E11" s="408">
        <v>24</v>
      </c>
      <c r="F11" s="251">
        <v>2</v>
      </c>
      <c r="G11" s="410">
        <v>2</v>
      </c>
      <c r="H11" s="412">
        <v>1</v>
      </c>
      <c r="I11" s="313">
        <v>2</v>
      </c>
    </row>
    <row r="12" spans="1:9" s="94" customFormat="1" ht="30" customHeight="1">
      <c r="A12" s="414" t="s">
        <v>167</v>
      </c>
      <c r="B12" s="251">
        <v>41</v>
      </c>
      <c r="C12" s="410">
        <v>37</v>
      </c>
      <c r="D12" s="411">
        <v>35</v>
      </c>
      <c r="E12" s="408">
        <v>38</v>
      </c>
      <c r="F12" s="251">
        <v>-1</v>
      </c>
      <c r="G12" s="410">
        <v>1</v>
      </c>
      <c r="H12" s="412">
        <v>1</v>
      </c>
      <c r="I12" s="313">
        <v>1</v>
      </c>
    </row>
    <row r="13" spans="1:9" s="94" customFormat="1" ht="12" customHeight="1">
      <c r="A13" s="414" t="s">
        <v>112</v>
      </c>
      <c r="B13" s="251">
        <v>40</v>
      </c>
      <c r="C13" s="410">
        <v>40</v>
      </c>
      <c r="D13" s="411">
        <v>34</v>
      </c>
      <c r="E13" s="408">
        <v>39</v>
      </c>
      <c r="F13" s="251">
        <v>2</v>
      </c>
      <c r="G13" s="410">
        <v>4</v>
      </c>
      <c r="H13" s="412">
        <v>4</v>
      </c>
      <c r="I13" s="313">
        <v>3</v>
      </c>
    </row>
    <row r="14" spans="1:9" s="94" customFormat="1">
      <c r="A14" s="414" t="s">
        <v>113</v>
      </c>
      <c r="B14" s="251">
        <v>26</v>
      </c>
      <c r="C14" s="410">
        <v>29</v>
      </c>
      <c r="D14" s="411">
        <v>25</v>
      </c>
      <c r="E14" s="408">
        <v>27</v>
      </c>
      <c r="F14" s="251">
        <v>0</v>
      </c>
      <c r="G14" s="410">
        <v>3</v>
      </c>
      <c r="H14" s="412">
        <v>1</v>
      </c>
      <c r="I14" s="313">
        <v>2</v>
      </c>
    </row>
    <row r="15" spans="1:9" s="94" customFormat="1">
      <c r="A15" s="414" t="s">
        <v>114</v>
      </c>
      <c r="B15" s="251">
        <v>48</v>
      </c>
      <c r="C15" s="410">
        <v>54</v>
      </c>
      <c r="D15" s="411">
        <v>49</v>
      </c>
      <c r="E15" s="408">
        <v>51</v>
      </c>
      <c r="F15" s="251">
        <v>-1</v>
      </c>
      <c r="G15" s="410">
        <v>2</v>
      </c>
      <c r="H15" s="412">
        <v>0</v>
      </c>
      <c r="I15" s="313">
        <v>1</v>
      </c>
    </row>
    <row r="16" spans="1:9" s="94" customFormat="1" ht="12" customHeight="1">
      <c r="A16" s="414" t="s">
        <v>115</v>
      </c>
      <c r="B16" s="251">
        <v>22</v>
      </c>
      <c r="C16" s="410">
        <v>18</v>
      </c>
      <c r="D16" s="411">
        <v>13</v>
      </c>
      <c r="E16" s="408">
        <v>18</v>
      </c>
      <c r="F16" s="251">
        <v>3</v>
      </c>
      <c r="G16" s="410">
        <v>2</v>
      </c>
      <c r="H16" s="412">
        <v>2</v>
      </c>
      <c r="I16" s="313">
        <v>3</v>
      </c>
    </row>
    <row r="17" spans="1:9" s="94" customFormat="1" ht="45" customHeight="1">
      <c r="A17" s="414" t="s">
        <v>116</v>
      </c>
      <c r="B17" s="251">
        <v>26</v>
      </c>
      <c r="C17" s="410">
        <v>23</v>
      </c>
      <c r="D17" s="411">
        <v>20</v>
      </c>
      <c r="E17" s="408">
        <v>23</v>
      </c>
      <c r="F17" s="251">
        <v>2</v>
      </c>
      <c r="G17" s="410">
        <v>2</v>
      </c>
      <c r="H17" s="412">
        <v>2</v>
      </c>
      <c r="I17" s="313">
        <v>2</v>
      </c>
    </row>
    <row r="18" spans="1:9" s="94" customFormat="1">
      <c r="A18" s="414" t="s">
        <v>117</v>
      </c>
      <c r="B18" s="251">
        <v>2</v>
      </c>
      <c r="C18" s="410">
        <v>9</v>
      </c>
      <c r="D18" s="411">
        <v>6</v>
      </c>
      <c r="E18" s="408">
        <v>6</v>
      </c>
      <c r="F18" s="251">
        <v>-1</v>
      </c>
      <c r="G18" s="410">
        <v>1</v>
      </c>
      <c r="H18" s="412">
        <v>1</v>
      </c>
      <c r="I18" s="313">
        <v>0</v>
      </c>
    </row>
    <row r="19" spans="1:9" s="94" customFormat="1" ht="14.25">
      <c r="A19" s="415" t="s">
        <v>184</v>
      </c>
      <c r="B19" s="416">
        <v>3.7</v>
      </c>
      <c r="C19" s="417">
        <v>3.7</v>
      </c>
      <c r="D19" s="418">
        <v>3.4</v>
      </c>
      <c r="E19" s="419">
        <v>3.6</v>
      </c>
      <c r="F19" s="416">
        <v>0.1</v>
      </c>
      <c r="G19" s="417">
        <v>0.2</v>
      </c>
      <c r="H19" s="420">
        <v>0.2</v>
      </c>
      <c r="I19" s="421">
        <v>0.2</v>
      </c>
    </row>
    <row r="20" spans="1:9" ht="0.75" customHeight="1"/>
    <row r="21" spans="1:9">
      <c r="A21" s="514" t="s">
        <v>146</v>
      </c>
      <c r="B21" s="514"/>
      <c r="C21" s="514"/>
      <c r="D21" s="514"/>
      <c r="E21" s="514"/>
      <c r="F21" s="514"/>
      <c r="G21" s="514"/>
      <c r="H21" s="514"/>
      <c r="I21" s="514"/>
    </row>
    <row r="22" spans="1:9">
      <c r="A22" s="515" t="s">
        <v>201</v>
      </c>
      <c r="B22" s="515"/>
      <c r="C22" s="515"/>
      <c r="D22" s="515"/>
      <c r="E22" s="515"/>
      <c r="F22" s="515"/>
      <c r="G22" s="515"/>
      <c r="H22" s="515"/>
      <c r="I22" s="515"/>
    </row>
    <row r="23" spans="1:9" ht="30" customHeight="1">
      <c r="A23" s="512" t="s">
        <v>141</v>
      </c>
      <c r="B23" s="512"/>
      <c r="C23" s="512"/>
      <c r="D23" s="512"/>
      <c r="E23" s="512"/>
      <c r="F23" s="512"/>
      <c r="G23" s="512"/>
      <c r="H23" s="512"/>
      <c r="I23" s="512"/>
    </row>
    <row r="24" spans="1:9">
      <c r="A24" s="323" t="s">
        <v>195</v>
      </c>
      <c r="B24" s="422"/>
      <c r="C24" s="422"/>
      <c r="D24" s="422"/>
      <c r="E24" s="422"/>
      <c r="F24" s="422"/>
      <c r="G24" s="422"/>
      <c r="H24" s="422"/>
      <c r="I24" s="422"/>
    </row>
    <row r="25" spans="1:9">
      <c r="A25" s="124" t="s">
        <v>16</v>
      </c>
      <c r="B25" s="422"/>
      <c r="C25" s="422"/>
      <c r="D25" s="422"/>
      <c r="E25" s="422"/>
      <c r="F25" s="422"/>
      <c r="G25" s="422"/>
      <c r="H25" s="422"/>
      <c r="I25" s="422"/>
    </row>
  </sheetData>
  <mergeCells count="6">
    <mergeCell ref="A23:I23"/>
    <mergeCell ref="A3:A4"/>
    <mergeCell ref="B3:E3"/>
    <mergeCell ref="F3:I3"/>
    <mergeCell ref="A21:I21"/>
    <mergeCell ref="A22:I22"/>
  </mergeCells>
  <pageMargins left="0.78749999999999998" right="0.78749999999999998" top="1.0236111111111099" bottom="1.0236111111111099" header="0.78749999999999998" footer="0.78749999999999998"/>
  <pageSetup paperSize="9" orientation="landscape" horizontalDpi="300" verticalDpi="300"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Sommaire</vt:lpstr>
      <vt:lpstr>Figure 1</vt:lpstr>
      <vt:lpstr>Figure 2</vt:lpstr>
      <vt:lpstr>Figure 3</vt:lpstr>
      <vt:lpstr>Figure 4</vt:lpstr>
      <vt:lpstr>Figure 5</vt:lpstr>
      <vt:lpstr>Figure 6</vt:lpstr>
      <vt:lpstr>Figure 7</vt:lpstr>
      <vt:lpstr>Figure 8</vt:lpstr>
      <vt:lpstr>Méthodes – Figure</vt:lpstr>
      <vt:lpstr>Encadré 2 – Figure</vt:lpstr>
      <vt:lpstr>Encadré 3 – Figure A</vt:lpstr>
      <vt:lpstr>Encadré 3 – Figure B</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Gouyon Marie</dc:creator>
  <dc:description/>
  <cp:lastModifiedBy>Babi Imran</cp:lastModifiedBy>
  <cp:revision>1</cp:revision>
  <dcterms:created xsi:type="dcterms:W3CDTF">2025-10-15T07:51:14Z</dcterms:created>
  <dcterms:modified xsi:type="dcterms:W3CDTF">2026-06-23T13:52:48Z</dcterms:modified>
  <dc:language>fr-FR</dc:language>
</cp:coreProperties>
</file>
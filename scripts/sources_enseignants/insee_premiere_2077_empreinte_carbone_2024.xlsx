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YWOT\Documents\Anne\Relectures\IP Carbone2025_MOI\"/>
    </mc:Choice>
  </mc:AlternateContent>
  <xr:revisionPtr revIDLastSave="0" documentId="13_ncr:1_{ACFD5B70-C80C-429C-819B-0C757A6EDF39}" xr6:coauthVersionLast="47" xr6:coauthVersionMax="47" xr10:uidLastSave="{00000000-0000-0000-0000-000000000000}"/>
  <bookViews>
    <workbookView xWindow="-120" yWindow="-120" windowWidth="20730" windowHeight="11040" tabRatio="811" xr2:uid="{5E779762-11BA-4845-ADFB-EDAA572160BB}"/>
  </bookViews>
  <sheets>
    <sheet name="Sommaire" sheetId="60" r:id="rId1"/>
    <sheet name="Figure 1" sheetId="33" r:id="rId2"/>
    <sheet name="Figure 2" sheetId="59" r:id="rId3"/>
    <sheet name="Figure 3" sheetId="43" r:id="rId4"/>
    <sheet name="Figure 4" sheetId="28" r:id="rId5"/>
    <sheet name="Tableau complémentaire 1" sheetId="31" r:id="rId6"/>
    <sheet name="Tableau complémentaire 2" sheetId="30" r:id="rId7"/>
    <sheet name="Tableau complémentaire 3" sheetId="14" r:id="rId8"/>
  </sheets>
  <definedNames>
    <definedName name="_Order1" hidden="1">255</definedName>
    <definedName name="_Order2" hidden="1">255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0" i="60" l="1"/>
  <c r="A18" i="60"/>
  <c r="A16" i="60"/>
  <c r="A11" i="60"/>
  <c r="A9" i="60"/>
  <c r="A7" i="60"/>
  <c r="A5" i="60"/>
</calcChain>
</file>

<file path=xl/sharedStrings.xml><?xml version="1.0" encoding="utf-8"?>
<sst xmlns="http://schemas.openxmlformats.org/spreadsheetml/2006/main" count="164" uniqueCount="115">
  <si>
    <t>Émissions importées destinées à la demande finale</t>
  </si>
  <si>
    <t>Émissions directes des ménages</t>
  </si>
  <si>
    <t>Émissions de la production intérieure totale</t>
  </si>
  <si>
    <t>en %</t>
  </si>
  <si>
    <t>Émissions intérieures</t>
  </si>
  <si>
    <t>Émissions importées</t>
  </si>
  <si>
    <t>Empreinte totale</t>
  </si>
  <si>
    <t>PIB</t>
  </si>
  <si>
    <t>Importations</t>
  </si>
  <si>
    <t>Exportations</t>
  </si>
  <si>
    <t>Années</t>
  </si>
  <si>
    <t>Demande finale intérieure</t>
  </si>
  <si>
    <t>Russie</t>
  </si>
  <si>
    <t>États-Unis</t>
  </si>
  <si>
    <t>Chine</t>
  </si>
  <si>
    <t>Allemagne</t>
  </si>
  <si>
    <t>France</t>
  </si>
  <si>
    <t>Union européenne à 27, hors France et Allemagne</t>
  </si>
  <si>
    <t>Émissions totales de GES</t>
  </si>
  <si>
    <t>Émissions de GES hors émissions directes des ménages</t>
  </si>
  <si>
    <t>Empreinte GES totale</t>
  </si>
  <si>
    <t>Empreinte GES hors émissions directes des ménages</t>
  </si>
  <si>
    <t>Type d'émissions</t>
  </si>
  <si>
    <t>Ensemble de l'empreinte carbone</t>
  </si>
  <si>
    <t>Origine des gaz à effet de serre</t>
  </si>
  <si>
    <t>Composantes de l'empreinte carbone</t>
  </si>
  <si>
    <t>Déplacements</t>
  </si>
  <si>
    <t>Habitat</t>
  </si>
  <si>
    <t>Alimentation</t>
  </si>
  <si>
    <t>Biens d'équipements</t>
  </si>
  <si>
    <t>Services principalement marchands</t>
  </si>
  <si>
    <t>GES associés aux importations de la production intérieure</t>
  </si>
  <si>
    <t>GES issus de la production intérieure, hors exportations</t>
  </si>
  <si>
    <t>Décomposition de l'empreinte carbone</t>
  </si>
  <si>
    <t>Services principalement publics</t>
  </si>
  <si>
    <t>Autres pays d'origine des émissions</t>
  </si>
  <si>
    <t>Figure 1 – Émissions et empreinte carbone de la France en 2024</t>
  </si>
  <si>
    <t>Sources : Insee, Eurostat, Citepa, Douanes, OCDE ; traitements Insee-SDES 2025.</t>
  </si>
  <si>
    <t>Ensemble des branches d’activité</t>
  </si>
  <si>
    <t>Sources : Insee, Citepa ; traitements Insee-SDES 2025.</t>
  </si>
  <si>
    <t>Tableau complémentaire 3 – L'empreinte carbone de la France et ses décompositions en 2023</t>
  </si>
  <si>
    <r>
      <t>En Mt 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éq</t>
    </r>
  </si>
  <si>
    <t>GES émis directement par les ménages (transport et logement)</t>
  </si>
  <si>
    <t>Branche d'activité</t>
  </si>
  <si>
    <r>
      <t>Champ : France ; GES (CO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+ CH</t>
    </r>
    <r>
      <rPr>
        <vertAlign val="subscript"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+ N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O + gaz fluorés).</t>
    </r>
  </si>
  <si>
    <r>
      <t>Champ : France ; GES (CO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+ CH</t>
    </r>
    <r>
      <rPr>
        <vertAlign val="subscript"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+ N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O + gaz fluorés) ; données économiques en euros constants base 2020.</t>
    </r>
  </si>
  <si>
    <t>Émissions des activités économiques</t>
  </si>
  <si>
    <t>Lecture : En 2023, 48,9 % des gaz à effet de serre (GES) composant l'empreinte carbone de la France sont émis en France.</t>
  </si>
  <si>
    <t>Empreinte carbone</t>
  </si>
  <si>
    <t>///</t>
  </si>
  <si>
    <t>Émissions de la production intérieure destinées à la demande finale</t>
  </si>
  <si>
    <t>Émissions de la production intérieure exportées</t>
  </si>
  <si>
    <t>Émissions importées réexportées</t>
  </si>
  <si>
    <t>Contenu en gaz à effet de serre total des importations</t>
  </si>
  <si>
    <t>Ensemble empreinte carbone</t>
  </si>
  <si>
    <t>Produit intérieur brut</t>
  </si>
  <si>
    <t>Émissions françaises</t>
  </si>
  <si>
    <t>Ensemble émissions françaises</t>
  </si>
  <si>
    <t>Figure 3 – L’empreinte carbone et ses composantes de 1990 à 2024</t>
  </si>
  <si>
    <t>Évolutions 2023/2024 
(en %)</t>
  </si>
  <si>
    <t>Figure 2 – Évolution des émissions et du produit intérieur brut en France</t>
  </si>
  <si>
    <t>Lecture : En 2024, les émissions de gaz à effet de serre des activités économiques (hors émissions directes des ménages) de la France reculent de 1,1 %, alors que le produit intérieur brut progresse de 1,2 % en euros constants.</t>
  </si>
  <si>
    <t>Tableau complémentaire 1 – Émissions de GES des activités économiques résidentes françaises par branche d'activité en 2024</t>
  </si>
  <si>
    <r>
      <t>Émissions 2024 
(en Mt CO</t>
    </r>
    <r>
      <rPr>
        <b/>
        <vertAlign val="subscript"/>
        <sz val="10"/>
        <color rgb="FF000000"/>
        <rFont val="Arial"/>
        <family val="2"/>
      </rPr>
      <t>2</t>
    </r>
    <r>
      <rPr>
        <b/>
        <sz val="10"/>
        <color rgb="FF000000"/>
        <rFont val="Arial"/>
        <family val="2"/>
      </rPr>
      <t xml:space="preserve"> éq)</t>
    </r>
  </si>
  <si>
    <t>Tableau complémentaire 2 – Émissions et empreinte GES de la France depuis 1990</t>
  </si>
  <si>
    <t>Grands postes de demande</t>
  </si>
  <si>
    <t>Figure 4 – Contenu en GES par euro des activités économiques intérieures (PIB), des importations, de la demande finale intérieure et des exportations</t>
  </si>
  <si>
    <r>
      <t>Lecture : En 2024, l'empreinte carbone de la France est de 563 Mt 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éq. Elle se décompose en 284 Mt 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éq d'émissions importées, 180 Mt 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éq d'émissions intérieures et 99 Mt 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éq d'émissions directes des ménages.</t>
    </r>
  </si>
  <si>
    <t>2021/2020</t>
  </si>
  <si>
    <t>2020/2019</t>
  </si>
  <si>
    <t>2022/2021</t>
  </si>
  <si>
    <t>2023/2022</t>
  </si>
  <si>
    <t>2024/2023</t>
  </si>
  <si>
    <r>
      <t>Lecture : En 2024, l'empreinte carbone de la demande finale est de 563 Mt 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éq.</t>
    </r>
  </si>
  <si>
    <r>
      <t>en Mt CO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éq</t>
    </r>
  </si>
  <si>
    <t>Sources : Citepa ; traitements Insee-SDES 2025.</t>
  </si>
  <si>
    <t>Par branche d'activités émettrices de gaz à effet de serre (GES), dans le Monde</t>
  </si>
  <si>
    <t>Par bien et service finaux dans lesquels sont contenus les gaz à effet de serre (GES)</t>
  </si>
  <si>
    <t>GES associés aux importations pour usage final</t>
  </si>
  <si>
    <r>
      <t>Données de l'Insee Première n</t>
    </r>
    <r>
      <rPr>
        <b/>
        <vertAlign val="superscript"/>
        <sz val="12"/>
        <color rgb="FF000000"/>
        <rFont val="Arial"/>
        <family val="2"/>
      </rPr>
      <t>o</t>
    </r>
    <r>
      <rPr>
        <b/>
        <sz val="12"/>
        <color rgb="FF000000"/>
        <rFont val="Arial"/>
        <family val="2"/>
      </rPr>
      <t xml:space="preserve"> 2077 « Émissions de gaz à effet de serre et empreinte carbone de la France en 2024 – Une baisse plus faible qu’en 2023 »</t>
    </r>
  </si>
  <si>
    <t>Données des figures de la publication</t>
  </si>
  <si>
    <t>Données complémentaires</t>
  </si>
  <si>
    <r>
      <t>en gramme de CO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éq par euro constant base 2020</t>
    </r>
  </si>
  <si>
    <r>
      <t>(en Mt 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éq)</t>
    </r>
  </si>
  <si>
    <t>A – Agriculture, sylviculture et pêche</t>
  </si>
  <si>
    <t>B – Industries extractives</t>
  </si>
  <si>
    <t>CA – Fabrication de denrées alimentaires, de boissons et de produits à base de tabac</t>
  </si>
  <si>
    <t>CD – Cokéfaction et raffinage</t>
  </si>
  <si>
    <t>CE et CF – Industrie chimique et pharmaceutique</t>
  </si>
  <si>
    <t>CG – Fabrication de produits en caoutchouc et en plastique ainsi que d'autres produits minéraux non métalliques</t>
  </si>
  <si>
    <t>CH – Métallurgie et fabrication de produits métalliques à l'exception des machines et des équipements</t>
  </si>
  <si>
    <t>Cx – Autres industries manufacturières</t>
  </si>
  <si>
    <t>D – Production et distribution d'électricité, de gaz, de vapeur et d'air conditionné</t>
  </si>
  <si>
    <t>E – Production et distribution d'eau ; assainissement, gestion des déchets et dépollution</t>
  </si>
  <si>
    <t>F – Construction</t>
  </si>
  <si>
    <t>G – Commerce ; réparation d'automobiles et de motocycles</t>
  </si>
  <si>
    <t>H – Transports et entreposage</t>
  </si>
  <si>
    <t>I à U – Activités de services</t>
  </si>
  <si>
    <r>
      <t>Lecture : En 2024, la branche d'activité de la construction a émis 9 Mt CO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éq de gaz à effet de serre (GES).</t>
    </r>
  </si>
  <si>
    <t>Notes : Les émissions de la France correspondent aux émissions des unités résidentes françaises (inventaire au format AEA) ; les flux internationaux de gaz à effet de serre (GES) représentent les émissions associées aux exportations et importations françaises ; les émissions associées aux exportations peuvent être « brutes » (y compris les importations réexportées) ou « nettes » (hors importations réexportées) ; l'empreinte carbone est une estimation des émissions de GES associées à la demande finale française hors exportations.</t>
  </si>
  <si>
    <t>Note : Les émissions de la France correspondent aux émissions des unités résidentes françaises.</t>
  </si>
  <si>
    <r>
      <t>en milliers de tonnes CO</t>
    </r>
    <r>
      <rPr>
        <b/>
        <vertAlign val="subscript"/>
        <sz val="10"/>
        <color rgb="FF000000"/>
        <rFont val="Arial"/>
        <family val="2"/>
      </rPr>
      <t>2</t>
    </r>
    <r>
      <rPr>
        <b/>
        <sz val="10"/>
        <color rgb="FF000000"/>
        <rFont val="Arial"/>
        <family val="2"/>
      </rPr>
      <t xml:space="preserve"> éq</t>
    </r>
  </si>
  <si>
    <r>
      <t>en tonnes CO</t>
    </r>
    <r>
      <rPr>
        <b/>
        <vertAlign val="subscript"/>
        <sz val="10"/>
        <color rgb="FF000000"/>
        <rFont val="Arial"/>
        <family val="2"/>
      </rPr>
      <t>2</t>
    </r>
    <r>
      <rPr>
        <b/>
        <sz val="10"/>
        <color rgb="FF000000"/>
        <rFont val="Arial"/>
        <family val="2"/>
      </rPr>
      <t xml:space="preserve"> éq par habitant</t>
    </r>
  </si>
  <si>
    <t>B – Activités extractives</t>
  </si>
  <si>
    <t xml:space="preserve">C – Industrie </t>
  </si>
  <si>
    <t>A – Agriculture</t>
  </si>
  <si>
    <t>D – Production et distribution d'électricité, chaleur, gaz</t>
  </si>
  <si>
    <t>E – Eau, assainissement, déchets</t>
  </si>
  <si>
    <t>G – Commerce</t>
  </si>
  <si>
    <t>H – Services de transport</t>
  </si>
  <si>
    <t>I à U – Services marchands et non marchands</t>
  </si>
  <si>
    <t>En %</t>
  </si>
  <si>
    <t>Note : Les données de 1990 à 2009 sont rétropolées à partir du calcul de l'année 2010, les données de l'année 2024 sont provisoires.</t>
  </si>
  <si>
    <r>
      <t>Lecture : En 2024, les activités économiques intérieures (PIB) émettent 117 grammes de 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par euro (euros constants base 2020).</t>
    </r>
  </si>
  <si>
    <r>
      <t>Lecture : En 2024, 404 417 milliers de tonnes équivalent 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de gaz à effet de serre (GES) sont émis par unités économiques résidant en France, soit 5,9 t éq 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par habitant.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</si>
</sst>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##\ ###\ ###\ ##0"/>
    <numFmt numFmtId="165" formatCode="0.0"/>
    <numFmt numFmtId="166" formatCode="0.00000"/>
    <numFmt numFmtId="167" formatCode="#,##0.0"/>
  </numFmts>
  <fonts count="28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i/>
      <sz val="10"/>
      <color rgb="FF000000"/>
      <name val="Arial"/>
      <family val="2"/>
    </font>
    <font>
      <sz val="10"/>
      <name val="Arial"/>
      <family val="2"/>
    </font>
    <font>
      <vertAlign val="subscript"/>
      <sz val="10"/>
      <color rgb="FF00000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bscript"/>
      <sz val="10"/>
      <name val="Arial"/>
      <family val="2"/>
    </font>
    <font>
      <b/>
      <sz val="10"/>
      <color theme="4"/>
      <name val="Arial"/>
      <family val="2"/>
    </font>
    <font>
      <sz val="10"/>
      <name val="Arial"/>
      <family val="2"/>
      <charset val="1"/>
    </font>
    <font>
      <sz val="10"/>
      <name val="MS Sans Serif"/>
    </font>
    <font>
      <sz val="8"/>
      <name val="Calibri"/>
      <family val="2"/>
      <scheme val="minor"/>
    </font>
    <font>
      <b/>
      <vertAlign val="subscript"/>
      <sz val="10"/>
      <name val="Arial"/>
      <family val="2"/>
    </font>
    <font>
      <b/>
      <vertAlign val="subscript"/>
      <sz val="10"/>
      <color rgb="FF000000"/>
      <name val="Arial"/>
      <family val="2"/>
    </font>
    <font>
      <b/>
      <sz val="12"/>
      <color rgb="FF000000"/>
      <name val="Arial"/>
      <family val="2"/>
    </font>
    <font>
      <b/>
      <vertAlign val="superscript"/>
      <sz val="12"/>
      <color rgb="FF000000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color rgb="FF00B050"/>
      <name val="Arial"/>
      <family val="2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0" fontId="4" fillId="0" borderId="0"/>
    <xf numFmtId="0" fontId="10" fillId="0" borderId="0"/>
    <xf numFmtId="43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0" fontId="18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149">
    <xf numFmtId="0" fontId="0" fillId="0" borderId="0" xfId="0"/>
    <xf numFmtId="0" fontId="6" fillId="0" borderId="0" xfId="0" applyFont="1"/>
    <xf numFmtId="0" fontId="7" fillId="0" borderId="0" xfId="0" applyFont="1"/>
    <xf numFmtId="0" fontId="7" fillId="0" borderId="2" xfId="0" applyFont="1" applyBorder="1"/>
    <xf numFmtId="0" fontId="7" fillId="0" borderId="3" xfId="0" applyFont="1" applyBorder="1"/>
    <xf numFmtId="0" fontId="10" fillId="0" borderId="0" xfId="0" applyFont="1"/>
    <xf numFmtId="165" fontId="7" fillId="0" borderId="0" xfId="0" applyNumberFormat="1" applyFont="1"/>
    <xf numFmtId="165" fontId="7" fillId="0" borderId="2" xfId="0" applyNumberFormat="1" applyFont="1" applyBorder="1"/>
    <xf numFmtId="0" fontId="7" fillId="0" borderId="0" xfId="0" applyFont="1" applyFill="1"/>
    <xf numFmtId="165" fontId="7" fillId="0" borderId="0" xfId="0" applyNumberFormat="1" applyFont="1" applyFill="1"/>
    <xf numFmtId="0" fontId="7" fillId="0" borderId="0" xfId="0" applyFont="1" applyBorder="1"/>
    <xf numFmtId="3" fontId="10" fillId="0" borderId="0" xfId="0" applyNumberFormat="1" applyFont="1" applyBorder="1"/>
    <xf numFmtId="165" fontId="10" fillId="0" borderId="0" xfId="0" applyNumberFormat="1" applyFont="1" applyBorder="1"/>
    <xf numFmtId="0" fontId="7" fillId="0" borderId="0" xfId="0" applyFont="1" applyFill="1" applyAlignment="1">
      <alignment horizontal="right"/>
    </xf>
    <xf numFmtId="0" fontId="13" fillId="0" borderId="0" xfId="1" applyFont="1"/>
    <xf numFmtId="0" fontId="14" fillId="0" borderId="0" xfId="1" applyFont="1"/>
    <xf numFmtId="0" fontId="13" fillId="0" borderId="2" xfId="1" applyFont="1" applyBorder="1"/>
    <xf numFmtId="0" fontId="13" fillId="0" borderId="0" xfId="1" applyFont="1" applyFill="1"/>
    <xf numFmtId="3" fontId="13" fillId="0" borderId="0" xfId="1" applyNumberFormat="1" applyFont="1" applyBorder="1"/>
    <xf numFmtId="0" fontId="13" fillId="0" borderId="6" xfId="1" applyFont="1" applyBorder="1"/>
    <xf numFmtId="165" fontId="7" fillId="0" borderId="0" xfId="0" applyNumberFormat="1" applyFont="1" applyBorder="1"/>
    <xf numFmtId="0" fontId="7" fillId="0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Border="1"/>
    <xf numFmtId="49" fontId="7" fillId="0" borderId="0" xfId="0" applyNumberFormat="1" applyFont="1" applyBorder="1" applyAlignment="1">
      <alignment horizontal="center" vertical="center" wrapText="1"/>
    </xf>
    <xf numFmtId="0" fontId="10" fillId="0" borderId="0" xfId="0" applyFont="1" applyBorder="1"/>
    <xf numFmtId="0" fontId="7" fillId="0" borderId="0" xfId="0" applyFont="1" applyAlignment="1">
      <alignment horizontal="right"/>
    </xf>
    <xf numFmtId="0" fontId="8" fillId="0" borderId="0" xfId="1" applyFont="1" applyFill="1"/>
    <xf numFmtId="0" fontId="13" fillId="0" borderId="0" xfId="1" applyFont="1" applyFill="1" applyBorder="1"/>
    <xf numFmtId="0" fontId="7" fillId="0" borderId="0" xfId="0" applyFont="1" applyFill="1" applyAlignment="1">
      <alignment horizontal="left" vertical="center" wrapText="1"/>
    </xf>
    <xf numFmtId="0" fontId="8" fillId="0" borderId="0" xfId="0" applyFont="1" applyFill="1"/>
    <xf numFmtId="165" fontId="8" fillId="0" borderId="0" xfId="0" applyNumberFormat="1" applyFont="1" applyFill="1"/>
    <xf numFmtId="165" fontId="7" fillId="0" borderId="3" xfId="0" applyNumberFormat="1" applyFont="1" applyBorder="1"/>
    <xf numFmtId="166" fontId="7" fillId="0" borderId="0" xfId="0" applyNumberFormat="1" applyFont="1"/>
    <xf numFmtId="0" fontId="13" fillId="0" borderId="8" xfId="1" applyFont="1" applyBorder="1"/>
    <xf numFmtId="0" fontId="13" fillId="0" borderId="6" xfId="1" applyFont="1" applyFill="1" applyBorder="1"/>
    <xf numFmtId="0" fontId="14" fillId="0" borderId="7" xfId="1" applyFont="1" applyBorder="1"/>
    <xf numFmtId="0" fontId="16" fillId="0" borderId="1" xfId="1" applyFont="1" applyBorder="1"/>
    <xf numFmtId="0" fontId="16" fillId="0" borderId="2" xfId="1" applyFont="1" applyBorder="1"/>
    <xf numFmtId="0" fontId="16" fillId="0" borderId="2" xfId="1" applyFont="1" applyFill="1" applyBorder="1"/>
    <xf numFmtId="0" fontId="14" fillId="0" borderId="3" xfId="1" applyFont="1" applyBorder="1"/>
    <xf numFmtId="1" fontId="7" fillId="0" borderId="1" xfId="0" applyNumberFormat="1" applyFont="1" applyBorder="1"/>
    <xf numFmtId="1" fontId="7" fillId="0" borderId="2" xfId="0" applyNumberFormat="1" applyFont="1" applyBorder="1"/>
    <xf numFmtId="1" fontId="7" fillId="0" borderId="3" xfId="0" applyNumberFormat="1" applyFont="1" applyBorder="1"/>
    <xf numFmtId="0" fontId="14" fillId="0" borderId="8" xfId="1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3" fontId="13" fillId="0" borderId="2" xfId="1" applyNumberFormat="1" applyFont="1" applyBorder="1"/>
    <xf numFmtId="0" fontId="7" fillId="0" borderId="7" xfId="0" applyFont="1" applyBorder="1" applyAlignment="1">
      <alignment horizontal="left"/>
    </xf>
    <xf numFmtId="3" fontId="13" fillId="0" borderId="3" xfId="1" applyNumberFormat="1" applyFont="1" applyBorder="1"/>
    <xf numFmtId="0" fontId="10" fillId="0" borderId="2" xfId="0" applyFont="1" applyBorder="1" applyAlignment="1">
      <alignment horizontal="right"/>
    </xf>
    <xf numFmtId="0" fontId="10" fillId="0" borderId="2" xfId="0" applyFont="1" applyBorder="1" applyAlignment="1">
      <alignment horizontal="left"/>
    </xf>
    <xf numFmtId="1" fontId="10" fillId="0" borderId="2" xfId="0" applyNumberFormat="1" applyFont="1" applyBorder="1"/>
    <xf numFmtId="0" fontId="12" fillId="0" borderId="2" xfId="0" applyFont="1" applyBorder="1"/>
    <xf numFmtId="1" fontId="12" fillId="0" borderId="2" xfId="0" applyNumberFormat="1" applyFont="1" applyBorder="1"/>
    <xf numFmtId="0" fontId="10" fillId="0" borderId="3" xfId="0" applyFont="1" applyBorder="1" applyAlignment="1">
      <alignment horizontal="right"/>
    </xf>
    <xf numFmtId="0" fontId="10" fillId="0" borderId="0" xfId="0" applyFont="1" applyFill="1"/>
    <xf numFmtId="165" fontId="10" fillId="0" borderId="0" xfId="0" applyNumberFormat="1" applyFont="1" applyFill="1"/>
    <xf numFmtId="0" fontId="10" fillId="0" borderId="1" xfId="0" applyFont="1" applyBorder="1" applyAlignment="1">
      <alignment horizontal="right"/>
    </xf>
    <xf numFmtId="167" fontId="13" fillId="0" borderId="2" xfId="1" applyNumberFormat="1" applyFont="1" applyBorder="1" applyAlignment="1">
      <alignment horizontal="right"/>
    </xf>
    <xf numFmtId="167" fontId="13" fillId="0" borderId="3" xfId="1" applyNumberFormat="1" applyFont="1" applyBorder="1" applyAlignment="1">
      <alignment horizontal="right"/>
    </xf>
    <xf numFmtId="0" fontId="6" fillId="0" borderId="4" xfId="0" applyFont="1" applyBorder="1" applyAlignment="1">
      <alignment horizontal="center" vertical="center" wrapText="1"/>
    </xf>
    <xf numFmtId="3" fontId="7" fillId="0" borderId="2" xfId="0" applyNumberFormat="1" applyFont="1" applyBorder="1"/>
    <xf numFmtId="3" fontId="7" fillId="0" borderId="3" xfId="0" applyNumberFormat="1" applyFont="1" applyBorder="1"/>
    <xf numFmtId="0" fontId="12" fillId="0" borderId="1" xfId="0" applyFont="1" applyBorder="1"/>
    <xf numFmtId="0" fontId="10" fillId="0" borderId="3" xfId="0" applyFont="1" applyBorder="1" applyAlignment="1">
      <alignment horizontal="left"/>
    </xf>
    <xf numFmtId="1" fontId="10" fillId="0" borderId="3" xfId="0" applyNumberFormat="1" applyFont="1" applyBorder="1"/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165" fontId="12" fillId="0" borderId="9" xfId="0" applyNumberFormat="1" applyFont="1" applyBorder="1" applyAlignment="1">
      <alignment horizontal="center" vertical="center"/>
    </xf>
    <xf numFmtId="1" fontId="12" fillId="0" borderId="1" xfId="0" applyNumberFormat="1" applyFont="1" applyBorder="1" applyAlignment="1"/>
    <xf numFmtId="1" fontId="10" fillId="0" borderId="2" xfId="0" applyNumberFormat="1" applyFont="1" applyBorder="1" applyAlignment="1"/>
    <xf numFmtId="0" fontId="12" fillId="0" borderId="3" xfId="0" applyFont="1" applyBorder="1"/>
    <xf numFmtId="1" fontId="12" fillId="0" borderId="3" xfId="0" applyNumberFormat="1" applyFont="1" applyBorder="1"/>
    <xf numFmtId="165" fontId="12" fillId="0" borderId="1" xfId="0" applyNumberFormat="1" applyFont="1" applyFill="1" applyBorder="1"/>
    <xf numFmtId="165" fontId="12" fillId="0" borderId="2" xfId="0" applyNumberFormat="1" applyFont="1" applyFill="1" applyBorder="1"/>
    <xf numFmtId="165" fontId="10" fillId="0" borderId="2" xfId="0" applyNumberFormat="1" applyFont="1" applyFill="1" applyBorder="1"/>
    <xf numFmtId="165" fontId="12" fillId="0" borderId="2" xfId="0" applyNumberFormat="1" applyFont="1" applyFill="1" applyBorder="1" applyAlignment="1">
      <alignment horizontal="right" vertical="center"/>
    </xf>
    <xf numFmtId="165" fontId="10" fillId="0" borderId="3" xfId="0" applyNumberFormat="1" applyFont="1" applyFill="1" applyBorder="1"/>
    <xf numFmtId="165" fontId="12" fillId="0" borderId="3" xfId="0" applyNumberFormat="1" applyFont="1" applyFill="1" applyBorder="1"/>
    <xf numFmtId="0" fontId="12" fillId="0" borderId="8" xfId="0" applyFont="1" applyBorder="1"/>
    <xf numFmtId="3" fontId="12" fillId="0" borderId="1" xfId="0" applyNumberFormat="1" applyFont="1" applyBorder="1"/>
    <xf numFmtId="167" fontId="12" fillId="0" borderId="1" xfId="0" applyNumberFormat="1" applyFont="1" applyBorder="1" applyAlignment="1">
      <alignment horizontal="right"/>
    </xf>
    <xf numFmtId="0" fontId="6" fillId="0" borderId="5" xfId="0" applyFont="1" applyBorder="1" applyAlignment="1">
      <alignment horizontal="center" vertical="center"/>
    </xf>
    <xf numFmtId="3" fontId="12" fillId="0" borderId="2" xfId="0" applyNumberFormat="1" applyFont="1" applyBorder="1"/>
    <xf numFmtId="3" fontId="12" fillId="0" borderId="3" xfId="0" applyNumberFormat="1" applyFont="1" applyBorder="1"/>
    <xf numFmtId="165" fontId="12" fillId="0" borderId="2" xfId="0" applyNumberFormat="1" applyFont="1" applyBorder="1"/>
    <xf numFmtId="165" fontId="12" fillId="0" borderId="3" xfId="0" applyNumberFormat="1" applyFont="1" applyBorder="1"/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165" fontId="7" fillId="0" borderId="3" xfId="0" applyNumberFormat="1" applyFont="1" applyFill="1" applyBorder="1" applyAlignment="1">
      <alignment vertical="center"/>
    </xf>
    <xf numFmtId="165" fontId="7" fillId="0" borderId="2" xfId="0" applyNumberFormat="1" applyFont="1" applyFill="1" applyBorder="1" applyAlignment="1">
      <alignment vertical="center"/>
    </xf>
    <xf numFmtId="164" fontId="7" fillId="0" borderId="2" xfId="0" quotePrefix="1" applyNumberFormat="1" applyFont="1" applyFill="1" applyBorder="1" applyAlignment="1">
      <alignment horizontal="left"/>
    </xf>
    <xf numFmtId="164" fontId="7" fillId="0" borderId="3" xfId="0" quotePrefix="1" applyNumberFormat="1" applyFont="1" applyFill="1" applyBorder="1" applyAlignment="1">
      <alignment horizontal="left"/>
    </xf>
    <xf numFmtId="49" fontId="7" fillId="0" borderId="2" xfId="0" applyNumberFormat="1" applyFont="1" applyBorder="1" applyAlignment="1">
      <alignment horizontal="left"/>
    </xf>
    <xf numFmtId="3" fontId="14" fillId="0" borderId="1" xfId="1" applyNumberFormat="1" applyFont="1" applyBorder="1" applyAlignment="1">
      <alignment horizontal="center"/>
    </xf>
    <xf numFmtId="165" fontId="13" fillId="0" borderId="1" xfId="1" applyNumberFormat="1" applyFont="1" applyBorder="1"/>
    <xf numFmtId="165" fontId="13" fillId="0" borderId="2" xfId="1" applyNumberFormat="1" applyFont="1" applyBorder="1"/>
    <xf numFmtId="165" fontId="14" fillId="0" borderId="3" xfId="1" applyNumberFormat="1" applyFont="1" applyBorder="1"/>
    <xf numFmtId="3" fontId="12" fillId="0" borderId="4" xfId="2" applyNumberFormat="1" applyFont="1" applyBorder="1" applyAlignment="1">
      <alignment horizontal="center"/>
    </xf>
    <xf numFmtId="0" fontId="25" fillId="0" borderId="0" xfId="16" applyFont="1"/>
    <xf numFmtId="0" fontId="26" fillId="0" borderId="0" xfId="0" applyFont="1"/>
    <xf numFmtId="0" fontId="26" fillId="0" borderId="0" xfId="0" applyFont="1" applyFill="1"/>
    <xf numFmtId="0" fontId="8" fillId="0" borderId="0" xfId="0" quotePrefix="1" applyFont="1" applyFill="1"/>
    <xf numFmtId="49" fontId="12" fillId="0" borderId="4" xfId="0" applyNumberFormat="1" applyFont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0" fillId="0" borderId="10" xfId="0" applyFont="1" applyFill="1" applyBorder="1" applyAlignment="1">
      <alignment vertical="center"/>
    </xf>
    <xf numFmtId="0" fontId="6" fillId="0" borderId="4" xfId="0" applyFont="1" applyBorder="1" applyAlignment="1">
      <alignment horizontal="center" vertical="center" wrapText="1"/>
    </xf>
    <xf numFmtId="0" fontId="7" fillId="0" borderId="1" xfId="0" applyNumberFormat="1" applyFont="1" applyBorder="1" applyAlignment="1">
      <alignment horizontal="left"/>
    </xf>
    <xf numFmtId="0" fontId="7" fillId="0" borderId="2" xfId="0" applyNumberFormat="1" applyFont="1" applyBorder="1" applyAlignment="1">
      <alignment horizontal="left"/>
    </xf>
    <xf numFmtId="0" fontId="7" fillId="0" borderId="3" xfId="0" applyNumberFormat="1" applyFont="1" applyBorder="1" applyAlignment="1">
      <alignment horizontal="left"/>
    </xf>
    <xf numFmtId="0" fontId="27" fillId="0" borderId="0" xfId="0" applyFont="1"/>
    <xf numFmtId="0" fontId="7" fillId="0" borderId="10" xfId="0" applyFont="1" applyFill="1" applyBorder="1" applyAlignment="1">
      <alignment vertical="center"/>
    </xf>
    <xf numFmtId="0" fontId="10" fillId="0" borderId="0" xfId="0" applyFont="1" applyAlignment="1"/>
    <xf numFmtId="0" fontId="22" fillId="0" borderId="0" xfId="0" applyFont="1" applyAlignment="1">
      <alignment horizontal="left"/>
    </xf>
    <xf numFmtId="0" fontId="7" fillId="0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6" fillId="0" borderId="0" xfId="0" applyFont="1" applyAlignment="1">
      <alignment horizontal="left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2" fillId="0" borderId="1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horizontal="left" vertical="center" wrapText="1"/>
    </xf>
    <xf numFmtId="0" fontId="10" fillId="0" borderId="0" xfId="0" applyFont="1" applyFill="1" applyAlignment="1">
      <alignment horizontal="left" vertical="center" wrapText="1"/>
    </xf>
    <xf numFmtId="0" fontId="10" fillId="0" borderId="0" xfId="0" applyFont="1" applyFill="1" applyAlignment="1">
      <alignment vertical="center" wrapText="1"/>
    </xf>
    <xf numFmtId="0" fontId="12" fillId="0" borderId="0" xfId="0" applyFont="1" applyAlignment="1">
      <alignment horizontal="left"/>
    </xf>
    <xf numFmtId="0" fontId="10" fillId="0" borderId="10" xfId="0" applyFont="1" applyFill="1" applyBorder="1" applyAlignment="1">
      <alignment vertical="center"/>
    </xf>
    <xf numFmtId="0" fontId="10" fillId="0" borderId="10" xfId="0" applyFont="1" applyBorder="1" applyAlignment="1">
      <alignment vertical="center" wrapText="1"/>
    </xf>
    <xf numFmtId="0" fontId="12" fillId="0" borderId="0" xfId="0" applyFont="1" applyAlignment="1">
      <alignment horizontal="left" vertical="center"/>
    </xf>
    <xf numFmtId="0" fontId="10" fillId="0" borderId="0" xfId="0" applyFont="1"/>
    <xf numFmtId="0" fontId="6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7" fillId="0" borderId="0" xfId="0" applyFont="1" applyFill="1" applyAlignment="1">
      <alignment vertical="center" wrapText="1"/>
    </xf>
    <xf numFmtId="0" fontId="10" fillId="0" borderId="0" xfId="0" applyFont="1" applyAlignment="1">
      <alignment wrapText="1"/>
    </xf>
    <xf numFmtId="0" fontId="7" fillId="0" borderId="10" xfId="0" applyFont="1" applyBorder="1" applyAlignment="1">
      <alignment vertical="center"/>
    </xf>
    <xf numFmtId="0" fontId="7" fillId="0" borderId="0" xfId="0" applyFont="1" applyAlignment="1">
      <alignment vertical="center"/>
    </xf>
    <xf numFmtId="20" fontId="12" fillId="0" borderId="0" xfId="0" applyNumberFormat="1" applyFont="1" applyAlignment="1">
      <alignment horizontal="left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4" fillId="0" borderId="0" xfId="1" applyFont="1" applyAlignment="1">
      <alignment horizontal="left"/>
    </xf>
    <xf numFmtId="0" fontId="7" fillId="0" borderId="10" xfId="0" applyFont="1" applyFill="1" applyBorder="1" applyAlignment="1">
      <alignment vertical="center"/>
    </xf>
    <xf numFmtId="1" fontId="6" fillId="0" borderId="1" xfId="0" applyNumberFormat="1" applyFont="1" applyBorder="1"/>
    <xf numFmtId="1" fontId="6" fillId="0" borderId="2" xfId="0" applyNumberFormat="1" applyFont="1" applyBorder="1"/>
    <xf numFmtId="1" fontId="6" fillId="0" borderId="3" xfId="0" applyNumberFormat="1" applyFont="1" applyBorder="1"/>
  </cellXfs>
  <cellStyles count="17">
    <cellStyle name="Lien hypertexte" xfId="16" builtinId="8"/>
    <cellStyle name="Milliers 2" xfId="3" xr:uid="{13FF25DD-8814-4AAD-A948-BC6E89190C73}"/>
    <cellStyle name="Milliers 2 2" xfId="6" xr:uid="{8C51896B-0C59-4B15-9010-37CAC487CA37}"/>
    <cellStyle name="Milliers 2 3" xfId="10" xr:uid="{93030202-D6E3-4B6E-8786-A926EC1798D4}"/>
    <cellStyle name="Milliers 3" xfId="14" xr:uid="{6B480784-06AB-4863-9369-1BBBF825C279}"/>
    <cellStyle name="Normal" xfId="0" builtinId="0"/>
    <cellStyle name="Normal 2" xfId="1" xr:uid="{AD27AB75-50A7-4515-93B1-5A9E65E056FC}"/>
    <cellStyle name="Normal 2 2" xfId="2" xr:uid="{F6F3D9AD-3ACC-403F-A584-6ADD11796B7A}"/>
    <cellStyle name="Normal 2 3" xfId="5" xr:uid="{0B7E0651-0483-4AF9-AB3D-BDD2E86F1FE0}"/>
    <cellStyle name="Normal 2 4" xfId="9" xr:uid="{C238F1C5-1946-4D68-AF0F-6B22D0F991F2}"/>
    <cellStyle name="Normal 3" xfId="7" xr:uid="{8921F71C-F81C-4D26-A01C-E5732C6F135A}"/>
    <cellStyle name="Normal 4" xfId="13" xr:uid="{EA832A70-E1D7-4A3A-870B-6C4FF225C4F0}"/>
    <cellStyle name="Pourcentage 2" xfId="4" xr:uid="{63384C1C-0CB4-42E2-8F82-4E17EDF4CC15}"/>
    <cellStyle name="Pourcentage 2 2" xfId="11" xr:uid="{CD365CA9-B101-4FED-8A2D-3C1D9AE0EDAC}"/>
    <cellStyle name="Pourcentage 3" xfId="8" xr:uid="{E37750FC-180F-4A56-B073-DAF2B71EF5EB}"/>
    <cellStyle name="Pourcentage 4" xfId="12" xr:uid="{35D99D3A-B643-4DDC-95E9-470A8E5D33E8}"/>
    <cellStyle name="Pourcentage 5" xfId="15" xr:uid="{1905E202-2C6E-4FFF-8C16-FA5C7D5CAAD3}"/>
  </cellStyles>
  <dxfs count="0"/>
  <tableStyles count="0" defaultTableStyle="TableStyleMedium2" defaultPivotStyle="PivotStyleLight16"/>
  <colors>
    <mruColors>
      <color rgb="FFFA5A5A"/>
      <color rgb="FF174694"/>
      <color rgb="FF268DFF"/>
      <color rgb="FFC4101D"/>
      <color rgb="FF2697FF"/>
      <color rgb="FFBF8101"/>
      <color rgb="FFFFE690"/>
      <color rgb="FF2690FF"/>
      <color rgb="FFFFC300"/>
      <color rgb="FF86C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4AA70-651E-48E5-942D-39047EB7CD6D}">
  <dimension ref="A1:N20"/>
  <sheetViews>
    <sheetView tabSelected="1" workbookViewId="0">
      <selection sqref="A1:N1"/>
    </sheetView>
  </sheetViews>
  <sheetFormatPr baseColWidth="10" defaultColWidth="12.140625" defaultRowHeight="12.75" x14ac:dyDescent="0.2"/>
  <cols>
    <col min="1" max="16384" width="12.140625" style="2"/>
  </cols>
  <sheetData>
    <row r="1" spans="1:14" ht="18.75" x14ac:dyDescent="0.25">
      <c r="A1" s="115" t="s">
        <v>79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</row>
    <row r="3" spans="1:14" x14ac:dyDescent="0.2">
      <c r="A3" s="1" t="s">
        <v>80</v>
      </c>
    </row>
    <row r="5" spans="1:14" x14ac:dyDescent="0.2">
      <c r="A5" s="100" t="str">
        <f>'Figure 1'!A1</f>
        <v>Figure 1 – Émissions et empreinte carbone de la France en 2024</v>
      </c>
      <c r="B5" s="100"/>
      <c r="C5" s="100"/>
      <c r="D5" s="100"/>
      <c r="E5" s="100"/>
    </row>
    <row r="7" spans="1:14" x14ac:dyDescent="0.2">
      <c r="A7" s="100" t="str">
        <f>'Figure 2'!A1</f>
        <v>Figure 2 – Évolution des émissions et du produit intérieur brut en France</v>
      </c>
      <c r="B7" s="100"/>
      <c r="C7" s="100"/>
      <c r="D7" s="100"/>
      <c r="E7" s="100"/>
    </row>
    <row r="9" spans="1:14" x14ac:dyDescent="0.2">
      <c r="A9" s="100" t="str">
        <f>'Figure 3'!A1</f>
        <v>Figure 3 – L’empreinte carbone et ses composantes de 1990 à 2024</v>
      </c>
      <c r="B9" s="100"/>
      <c r="C9" s="100"/>
      <c r="D9" s="100"/>
      <c r="E9" s="100"/>
    </row>
    <row r="11" spans="1:14" x14ac:dyDescent="0.2">
      <c r="A11" s="100" t="str">
        <f>'Figure 4'!A1</f>
        <v>Figure 4 – Contenu en GES par euro des activités économiques intérieures (PIB), des importations, de la demande finale intérieure et des exportations</v>
      </c>
      <c r="B11" s="100"/>
      <c r="C11" s="100"/>
      <c r="D11" s="100"/>
      <c r="E11" s="100"/>
      <c r="F11" s="100"/>
      <c r="G11" s="100"/>
      <c r="H11" s="100"/>
      <c r="I11" s="100"/>
      <c r="J11" s="100"/>
      <c r="K11" s="100"/>
    </row>
    <row r="14" spans="1:14" x14ac:dyDescent="0.2">
      <c r="A14" s="1" t="s">
        <v>81</v>
      </c>
    </row>
    <row r="16" spans="1:14" x14ac:dyDescent="0.2">
      <c r="A16" s="100" t="str">
        <f>'Tableau complémentaire 1'!A1</f>
        <v>Tableau complémentaire 1 – Émissions de GES des activités économiques résidentes françaises par branche d'activité en 2024</v>
      </c>
      <c r="B16" s="100"/>
      <c r="C16" s="100"/>
      <c r="D16" s="100"/>
      <c r="E16" s="100"/>
      <c r="F16" s="100"/>
      <c r="G16" s="100"/>
      <c r="H16" s="100"/>
      <c r="I16" s="100"/>
    </row>
    <row r="18" spans="1:7" x14ac:dyDescent="0.2">
      <c r="A18" s="100" t="str">
        <f>'Tableau complémentaire 2'!A1</f>
        <v>Tableau complémentaire 2 – Émissions et empreinte GES de la France depuis 1990</v>
      </c>
      <c r="B18" s="100"/>
      <c r="C18" s="100"/>
      <c r="D18" s="100"/>
      <c r="E18" s="100"/>
      <c r="F18" s="100"/>
    </row>
    <row r="20" spans="1:7" x14ac:dyDescent="0.2">
      <c r="A20" s="100" t="str">
        <f>'Tableau complémentaire 3'!A1</f>
        <v>Tableau complémentaire 3 – L'empreinte carbone de la France et ses décompositions en 2023</v>
      </c>
      <c r="B20" s="100"/>
      <c r="C20" s="100"/>
      <c r="D20" s="100"/>
      <c r="E20" s="100"/>
      <c r="F20" s="100"/>
      <c r="G20" s="100"/>
    </row>
  </sheetData>
  <mergeCells count="1">
    <mergeCell ref="A1:N1"/>
  </mergeCells>
  <hyperlinks>
    <hyperlink ref="A5:E5" location="'Figure 1'!A1" display="'Figure 1'!A1" xr:uid="{01148C5A-1824-41C2-9991-1FBE6DEE97AC}"/>
    <hyperlink ref="A7:E7" location="'Figure 2'!A1" display="'Figure 2'!A1" xr:uid="{3D4B134B-541D-41DE-940B-60D603543AB5}"/>
    <hyperlink ref="A9:E9" location="'Figure 3'!A1" display="'Figure 3'!A1" xr:uid="{69092234-4E6C-4AD9-8844-A96E6C7788D8}"/>
    <hyperlink ref="A11:K11" location="'Figure 4'!A1" display="'Figure 4'!A1" xr:uid="{F73FE040-C26C-440A-A24C-21F5A53747E5}"/>
    <hyperlink ref="A16:I16" location="'Tableau complémentaire 1'!A1" display="'Tableau complémentaire 1'!A1" xr:uid="{F751BF9D-56F2-4F0B-B6DE-07D71E2424D6}"/>
    <hyperlink ref="A18:F18" location="'Tableau complémentaire 2'!A1" display="'Tableau complémentaire 2'!A1" xr:uid="{BC744CCB-436B-4BD2-BF36-689331A45B0B}"/>
    <hyperlink ref="A20:G20" location="'Tableau complémentaire 3'!A1" display="'Tableau complémentaire 3'!A1" xr:uid="{EACDDEAF-CC1C-49AE-B4BE-635D3C1A64D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FEC58-6432-4402-865A-55C7C45F2360}">
  <sheetPr>
    <pageSetUpPr fitToPage="1"/>
  </sheetPr>
  <dimension ref="A1:T66"/>
  <sheetViews>
    <sheetView zoomScaleNormal="100" workbookViewId="0">
      <selection sqref="A1:E1"/>
    </sheetView>
  </sheetViews>
  <sheetFormatPr baseColWidth="10" defaultRowHeight="12.75" x14ac:dyDescent="0.2"/>
  <cols>
    <col min="1" max="1" width="58.28515625" style="2" customWidth="1"/>
    <col min="2" max="3" width="20.7109375" style="2" customWidth="1"/>
    <col min="4" max="5" width="20.7109375" style="6" customWidth="1"/>
    <col min="6" max="6" width="11.42578125" style="8" customWidth="1"/>
    <col min="7" max="9" width="11.42578125" style="2" customWidth="1"/>
    <col min="10" max="10" width="11" style="2" customWidth="1"/>
    <col min="11" max="12" width="11.42578125" style="2"/>
    <col min="13" max="17" width="11.5703125" style="101"/>
    <col min="18" max="16384" width="11.42578125" style="2"/>
  </cols>
  <sheetData>
    <row r="1" spans="1:20" x14ac:dyDescent="0.2">
      <c r="A1" s="118" t="s">
        <v>36</v>
      </c>
      <c r="B1" s="118"/>
      <c r="C1" s="118"/>
      <c r="D1" s="118"/>
      <c r="E1" s="118"/>
      <c r="F1" s="30"/>
      <c r="G1" s="30"/>
      <c r="H1" s="30"/>
      <c r="I1" s="30"/>
      <c r="J1" s="30"/>
      <c r="K1" s="30"/>
      <c r="L1" s="30"/>
      <c r="N1" s="30"/>
      <c r="O1" s="30"/>
      <c r="P1" s="30"/>
      <c r="Q1" s="30"/>
      <c r="R1" s="8"/>
      <c r="S1" s="8"/>
      <c r="T1" s="8"/>
    </row>
    <row r="2" spans="1:20" x14ac:dyDescent="0.2">
      <c r="E2" s="31"/>
      <c r="F2" s="103"/>
      <c r="G2" s="30"/>
      <c r="H2" s="30"/>
      <c r="I2" s="8"/>
      <c r="J2" s="8"/>
      <c r="K2" s="8"/>
      <c r="L2" s="102"/>
      <c r="M2" s="102"/>
      <c r="N2" s="102"/>
      <c r="O2" s="102"/>
      <c r="P2" s="102"/>
      <c r="Q2" s="102"/>
      <c r="R2" s="8"/>
      <c r="S2" s="8"/>
      <c r="T2" s="8"/>
    </row>
    <row r="3" spans="1:20" x14ac:dyDescent="0.2">
      <c r="A3" s="119" t="s">
        <v>22</v>
      </c>
      <c r="B3" s="66" t="s">
        <v>56</v>
      </c>
      <c r="C3" s="67" t="s">
        <v>5</v>
      </c>
      <c r="D3" s="68" t="s">
        <v>48</v>
      </c>
      <c r="E3" s="124" t="s">
        <v>59</v>
      </c>
      <c r="F3" s="103"/>
      <c r="G3" s="30"/>
      <c r="H3" s="30"/>
      <c r="I3" s="8"/>
      <c r="J3" s="8"/>
      <c r="K3" s="8"/>
      <c r="L3" s="102"/>
      <c r="N3" s="102"/>
      <c r="O3" s="102"/>
      <c r="P3" s="102"/>
      <c r="Q3" s="102"/>
      <c r="R3" s="8"/>
      <c r="S3" s="8"/>
      <c r="T3" s="8"/>
    </row>
    <row r="4" spans="1:20" ht="14.25" x14ac:dyDescent="0.25">
      <c r="A4" s="120"/>
      <c r="B4" s="121" t="s">
        <v>83</v>
      </c>
      <c r="C4" s="122"/>
      <c r="D4" s="123"/>
      <c r="E4" s="125"/>
      <c r="F4" s="103"/>
      <c r="G4" s="30"/>
      <c r="H4" s="30"/>
      <c r="I4" s="8"/>
      <c r="J4" s="8"/>
      <c r="K4" s="8"/>
      <c r="L4" s="102"/>
      <c r="N4" s="102"/>
      <c r="O4" s="102"/>
      <c r="P4" s="102"/>
      <c r="Q4" s="102"/>
      <c r="R4" s="8"/>
      <c r="S4" s="8"/>
      <c r="T4" s="8"/>
    </row>
    <row r="5" spans="1:20" x14ac:dyDescent="0.2">
      <c r="A5" s="63" t="s">
        <v>1</v>
      </c>
      <c r="B5" s="69">
        <v>99</v>
      </c>
      <c r="C5" s="57" t="s">
        <v>49</v>
      </c>
      <c r="D5" s="69">
        <v>99</v>
      </c>
      <c r="E5" s="73">
        <v>-0.6</v>
      </c>
      <c r="G5" s="103"/>
      <c r="H5" s="30"/>
      <c r="I5" s="30"/>
      <c r="J5" s="8"/>
      <c r="K5" s="8"/>
      <c r="L5" s="8"/>
      <c r="M5" s="102"/>
      <c r="N5" s="102"/>
      <c r="O5" s="102"/>
      <c r="P5" s="102"/>
      <c r="Q5" s="102"/>
      <c r="R5" s="8"/>
      <c r="S5" s="8"/>
      <c r="T5" s="8"/>
    </row>
    <row r="6" spans="1:20" x14ac:dyDescent="0.2">
      <c r="A6" s="52" t="s">
        <v>2</v>
      </c>
      <c r="B6" s="53">
        <v>305</v>
      </c>
      <c r="C6" s="49" t="s">
        <v>49</v>
      </c>
      <c r="D6" s="49" t="s">
        <v>49</v>
      </c>
      <c r="E6" s="74">
        <v>-1.1000000000000001</v>
      </c>
      <c r="G6" s="103"/>
      <c r="H6" s="30"/>
      <c r="I6" s="30"/>
      <c r="J6" s="8"/>
      <c r="K6" s="8"/>
      <c r="L6" s="8"/>
      <c r="M6" s="102"/>
      <c r="N6" s="102"/>
      <c r="O6" s="102"/>
      <c r="P6" s="102"/>
      <c r="Q6" s="102"/>
      <c r="R6" s="8"/>
      <c r="S6" s="8"/>
      <c r="T6" s="8"/>
    </row>
    <row r="7" spans="1:20" x14ac:dyDescent="0.2">
      <c r="A7" s="50" t="s">
        <v>51</v>
      </c>
      <c r="B7" s="51">
        <v>125</v>
      </c>
      <c r="C7" s="49" t="s">
        <v>49</v>
      </c>
      <c r="D7" s="49" t="s">
        <v>49</v>
      </c>
      <c r="E7" s="75">
        <v>1.7</v>
      </c>
      <c r="G7" s="103"/>
      <c r="H7" s="30"/>
      <c r="I7" s="30"/>
      <c r="J7" s="8"/>
      <c r="K7" s="8"/>
      <c r="L7" s="8"/>
      <c r="M7" s="102"/>
      <c r="N7" s="102"/>
      <c r="O7" s="102"/>
      <c r="P7" s="102"/>
      <c r="Q7" s="102"/>
      <c r="R7" s="8"/>
      <c r="S7" s="8"/>
      <c r="T7" s="8"/>
    </row>
    <row r="8" spans="1:20" x14ac:dyDescent="0.2">
      <c r="A8" s="50" t="s">
        <v>50</v>
      </c>
      <c r="B8" s="70">
        <v>180</v>
      </c>
      <c r="C8" s="49" t="s">
        <v>49</v>
      </c>
      <c r="D8" s="70">
        <v>180</v>
      </c>
      <c r="E8" s="75">
        <v>-2.9</v>
      </c>
      <c r="G8" s="103"/>
      <c r="H8" s="30"/>
      <c r="I8" s="30"/>
      <c r="J8" s="8"/>
      <c r="K8" s="8"/>
      <c r="L8" s="8"/>
      <c r="M8" s="102"/>
      <c r="N8" s="102"/>
      <c r="O8" s="102"/>
      <c r="P8" s="102"/>
      <c r="Q8" s="102"/>
      <c r="R8" s="8"/>
      <c r="S8" s="8"/>
      <c r="T8" s="8"/>
    </row>
    <row r="9" spans="1:20" x14ac:dyDescent="0.2">
      <c r="A9" s="52" t="s">
        <v>53</v>
      </c>
      <c r="B9" s="49" t="s">
        <v>49</v>
      </c>
      <c r="C9" s="53">
        <v>443</v>
      </c>
      <c r="D9" s="49" t="s">
        <v>49</v>
      </c>
      <c r="E9" s="76">
        <v>-4.5</v>
      </c>
      <c r="G9" s="103"/>
      <c r="H9" s="30"/>
      <c r="I9" s="30"/>
      <c r="J9" s="8"/>
      <c r="K9" s="8"/>
      <c r="L9" s="8"/>
      <c r="M9" s="102"/>
      <c r="N9" s="102"/>
      <c r="O9" s="102"/>
      <c r="P9" s="102"/>
      <c r="Q9" s="102"/>
      <c r="R9" s="8"/>
      <c r="S9" s="8"/>
      <c r="T9" s="8"/>
    </row>
    <row r="10" spans="1:20" x14ac:dyDescent="0.2">
      <c r="A10" s="50" t="s">
        <v>52</v>
      </c>
      <c r="B10" s="49" t="s">
        <v>49</v>
      </c>
      <c r="C10" s="51">
        <v>160</v>
      </c>
      <c r="D10" s="49" t="s">
        <v>49</v>
      </c>
      <c r="E10" s="75">
        <v>-4.3</v>
      </c>
      <c r="G10" s="103"/>
      <c r="H10" s="30"/>
      <c r="I10" s="30"/>
      <c r="J10" s="8"/>
      <c r="K10" s="8"/>
      <c r="L10" s="8"/>
      <c r="M10" s="102"/>
      <c r="N10" s="102"/>
      <c r="O10" s="102"/>
      <c r="P10" s="102"/>
      <c r="Q10" s="102"/>
      <c r="R10" s="8"/>
      <c r="S10" s="8"/>
      <c r="T10" s="8"/>
    </row>
    <row r="11" spans="1:20" x14ac:dyDescent="0.2">
      <c r="A11" s="64" t="s">
        <v>0</v>
      </c>
      <c r="B11" s="54" t="s">
        <v>49</v>
      </c>
      <c r="C11" s="54">
        <v>284</v>
      </c>
      <c r="D11" s="65">
        <v>284</v>
      </c>
      <c r="E11" s="77">
        <v>-4.5999999999999996</v>
      </c>
      <c r="G11" s="103"/>
      <c r="H11" s="30"/>
      <c r="I11" s="30"/>
      <c r="J11" s="8"/>
      <c r="K11" s="8"/>
      <c r="L11" s="8"/>
      <c r="M11" s="102"/>
      <c r="N11" s="102"/>
      <c r="O11" s="102"/>
      <c r="P11" s="102"/>
      <c r="Q11" s="102"/>
      <c r="R11" s="8"/>
      <c r="S11" s="8"/>
      <c r="T11" s="8"/>
    </row>
    <row r="12" spans="1:20" x14ac:dyDescent="0.2">
      <c r="A12" s="63" t="s">
        <v>57</v>
      </c>
      <c r="B12" s="69">
        <v>404</v>
      </c>
      <c r="C12" s="57" t="s">
        <v>49</v>
      </c>
      <c r="D12" s="57" t="s">
        <v>49</v>
      </c>
      <c r="E12" s="73">
        <v>-0.9</v>
      </c>
      <c r="G12" s="103"/>
      <c r="H12" s="30"/>
      <c r="I12" s="30"/>
      <c r="J12" s="8"/>
      <c r="K12" s="8"/>
      <c r="L12" s="8"/>
      <c r="M12" s="102"/>
      <c r="N12" s="102"/>
      <c r="O12" s="102"/>
      <c r="P12" s="102"/>
      <c r="Q12" s="102"/>
      <c r="R12" s="8"/>
      <c r="S12" s="8"/>
      <c r="T12" s="8"/>
    </row>
    <row r="13" spans="1:20" x14ac:dyDescent="0.2">
      <c r="A13" s="71" t="s">
        <v>54</v>
      </c>
      <c r="B13" s="54" t="s">
        <v>49</v>
      </c>
      <c r="C13" s="54" t="s">
        <v>49</v>
      </c>
      <c r="D13" s="72">
        <v>563</v>
      </c>
      <c r="E13" s="78">
        <v>-3.4</v>
      </c>
      <c r="G13" s="103"/>
      <c r="H13" s="30"/>
      <c r="I13" s="30"/>
      <c r="J13" s="8"/>
      <c r="K13" s="8"/>
      <c r="L13" s="8"/>
      <c r="M13" s="102"/>
      <c r="N13" s="102"/>
      <c r="O13" s="102"/>
      <c r="P13" s="102"/>
      <c r="Q13" s="102"/>
      <c r="R13" s="8"/>
      <c r="S13" s="8"/>
      <c r="T13" s="8"/>
    </row>
    <row r="14" spans="1:20" s="8" customFormat="1" ht="51" customHeight="1" x14ac:dyDescent="0.2">
      <c r="A14" s="126" t="s">
        <v>99</v>
      </c>
      <c r="B14" s="126"/>
      <c r="C14" s="126"/>
      <c r="D14" s="126"/>
      <c r="E14" s="126"/>
      <c r="M14" s="102"/>
      <c r="N14" s="102"/>
      <c r="O14" s="102"/>
      <c r="P14" s="102"/>
      <c r="Q14" s="102"/>
    </row>
    <row r="15" spans="1:20" s="8" customFormat="1" ht="30" customHeight="1" x14ac:dyDescent="0.2">
      <c r="A15" s="127" t="s">
        <v>67</v>
      </c>
      <c r="B15" s="127"/>
      <c r="C15" s="127"/>
      <c r="D15" s="127"/>
      <c r="E15" s="127"/>
      <c r="M15" s="102"/>
      <c r="N15" s="102"/>
      <c r="O15" s="102"/>
      <c r="P15" s="102"/>
      <c r="Q15" s="102"/>
    </row>
    <row r="16" spans="1:20" s="8" customFormat="1" ht="15" customHeight="1" x14ac:dyDescent="0.2">
      <c r="A16" s="116" t="s">
        <v>44</v>
      </c>
      <c r="B16" s="116"/>
      <c r="C16" s="116"/>
      <c r="D16" s="116"/>
      <c r="E16" s="116"/>
      <c r="M16" s="102"/>
      <c r="N16" s="102"/>
      <c r="O16" s="102"/>
      <c r="P16" s="102"/>
      <c r="Q16" s="102"/>
    </row>
    <row r="17" spans="1:20" s="8" customFormat="1" x14ac:dyDescent="0.2">
      <c r="A17" s="117" t="s">
        <v>37</v>
      </c>
      <c r="B17" s="117"/>
      <c r="C17" s="117"/>
      <c r="D17" s="117"/>
      <c r="E17" s="117"/>
      <c r="M17" s="102"/>
      <c r="N17" s="102"/>
      <c r="O17" s="102"/>
      <c r="P17" s="102"/>
      <c r="Q17" s="102"/>
    </row>
    <row r="18" spans="1:20" s="8" customFormat="1" x14ac:dyDescent="0.2">
      <c r="A18" s="29"/>
      <c r="B18" s="29"/>
      <c r="C18" s="29"/>
      <c r="D18" s="9"/>
      <c r="E18" s="9"/>
      <c r="M18" s="102"/>
      <c r="N18" s="102"/>
      <c r="O18" s="102"/>
      <c r="P18" s="102"/>
      <c r="Q18" s="102"/>
    </row>
    <row r="19" spans="1:20" s="8" customFormat="1" x14ac:dyDescent="0.2">
      <c r="B19" s="55"/>
      <c r="C19" s="55"/>
      <c r="D19" s="56"/>
      <c r="E19" s="56"/>
      <c r="M19" s="102"/>
      <c r="N19" s="102"/>
      <c r="O19" s="102"/>
      <c r="P19" s="102"/>
      <c r="Q19" s="102"/>
    </row>
    <row r="20" spans="1:20" s="6" customFormat="1" x14ac:dyDescent="0.2">
      <c r="F20" s="8"/>
      <c r="G20" s="2"/>
      <c r="H20" s="2"/>
      <c r="I20" s="2"/>
      <c r="J20" s="2"/>
      <c r="K20" s="2"/>
      <c r="L20" s="2"/>
      <c r="M20" s="101"/>
      <c r="N20" s="101"/>
      <c r="O20" s="101"/>
      <c r="P20" s="101"/>
      <c r="Q20" s="101"/>
      <c r="R20" s="2"/>
      <c r="S20" s="2"/>
      <c r="T20" s="2"/>
    </row>
    <row r="21" spans="1:20" s="6" customFormat="1" x14ac:dyDescent="0.2">
      <c r="F21" s="8"/>
      <c r="G21" s="2"/>
      <c r="H21" s="2"/>
      <c r="I21" s="2"/>
      <c r="J21" s="2"/>
      <c r="K21" s="2"/>
      <c r="L21" s="2"/>
      <c r="M21" s="101"/>
      <c r="N21" s="101"/>
      <c r="O21" s="101"/>
      <c r="P21" s="101"/>
      <c r="Q21" s="101"/>
      <c r="R21" s="2"/>
      <c r="S21" s="2"/>
      <c r="T21" s="2"/>
    </row>
    <row r="40" spans="1:20" s="6" customFormat="1" x14ac:dyDescent="0.2">
      <c r="A40" s="2"/>
      <c r="B40" s="2"/>
      <c r="C40" s="2"/>
      <c r="D40" s="20"/>
      <c r="F40" s="8"/>
      <c r="G40" s="2"/>
      <c r="H40" s="2"/>
      <c r="I40" s="2"/>
      <c r="J40" s="2"/>
      <c r="K40" s="2"/>
      <c r="L40" s="2"/>
      <c r="M40" s="101"/>
      <c r="N40" s="101"/>
      <c r="O40" s="101"/>
      <c r="P40" s="101"/>
      <c r="Q40" s="101"/>
      <c r="R40" s="2"/>
      <c r="S40" s="2"/>
      <c r="T40" s="2"/>
    </row>
    <row r="41" spans="1:20" s="6" customFormat="1" x14ac:dyDescent="0.2">
      <c r="A41" s="2"/>
      <c r="B41" s="2"/>
      <c r="C41" s="2"/>
      <c r="D41" s="20"/>
      <c r="F41" s="8"/>
      <c r="G41" s="2"/>
      <c r="H41" s="2"/>
      <c r="I41" s="2"/>
      <c r="J41" s="2"/>
      <c r="K41" s="2"/>
      <c r="L41" s="2"/>
      <c r="M41" s="101"/>
      <c r="N41" s="101"/>
      <c r="O41" s="101"/>
      <c r="P41" s="101"/>
      <c r="Q41" s="101"/>
      <c r="R41" s="2"/>
      <c r="S41" s="2"/>
      <c r="T41" s="2"/>
    </row>
    <row r="42" spans="1:20" s="6" customFormat="1" x14ac:dyDescent="0.2">
      <c r="A42" s="2"/>
      <c r="B42" s="2"/>
      <c r="C42" s="2"/>
      <c r="D42" s="20"/>
      <c r="F42" s="8"/>
      <c r="G42" s="2"/>
      <c r="H42" s="2"/>
      <c r="I42" s="2"/>
      <c r="J42" s="2"/>
      <c r="K42" s="2"/>
      <c r="L42" s="2"/>
      <c r="M42" s="101"/>
      <c r="N42" s="101"/>
      <c r="O42" s="101"/>
      <c r="P42" s="101"/>
      <c r="Q42" s="101"/>
      <c r="R42" s="2"/>
      <c r="S42" s="2"/>
      <c r="T42" s="2"/>
    </row>
    <row r="43" spans="1:20" s="6" customFormat="1" x14ac:dyDescent="0.2">
      <c r="A43" s="10"/>
      <c r="B43" s="10"/>
      <c r="C43" s="10"/>
      <c r="D43" s="20"/>
      <c r="F43" s="8"/>
      <c r="G43" s="2"/>
      <c r="H43" s="2"/>
      <c r="I43" s="2"/>
      <c r="J43" s="2"/>
      <c r="K43" s="2"/>
      <c r="L43" s="2"/>
      <c r="M43" s="101"/>
      <c r="N43" s="101"/>
      <c r="O43" s="101"/>
      <c r="P43" s="101"/>
      <c r="Q43" s="101"/>
      <c r="R43" s="2"/>
      <c r="S43" s="2"/>
      <c r="T43" s="2"/>
    </row>
    <row r="44" spans="1:20" s="6" customFormat="1" x14ac:dyDescent="0.2">
      <c r="A44" s="10"/>
      <c r="B44" s="10"/>
      <c r="C44" s="10"/>
      <c r="D44" s="20"/>
      <c r="F44" s="8"/>
      <c r="G44" s="2"/>
      <c r="H44" s="2"/>
      <c r="I44" s="2"/>
      <c r="J44" s="2"/>
      <c r="K44" s="2"/>
      <c r="L44" s="2"/>
      <c r="M44" s="101"/>
      <c r="N44" s="101"/>
      <c r="O44" s="101"/>
      <c r="P44" s="101"/>
      <c r="Q44" s="101"/>
      <c r="R44" s="2"/>
      <c r="S44" s="2"/>
      <c r="T44" s="2"/>
    </row>
    <row r="45" spans="1:20" s="6" customFormat="1" x14ac:dyDescent="0.2">
      <c r="A45" s="10"/>
      <c r="B45" s="10"/>
      <c r="C45" s="10"/>
      <c r="D45" s="20"/>
      <c r="F45" s="8"/>
      <c r="G45" s="2"/>
      <c r="H45" s="2"/>
      <c r="I45" s="2"/>
      <c r="J45" s="2"/>
      <c r="K45" s="2"/>
      <c r="L45" s="2"/>
      <c r="M45" s="101"/>
      <c r="N45" s="101"/>
      <c r="O45" s="101"/>
      <c r="P45" s="101"/>
      <c r="Q45" s="101"/>
      <c r="R45" s="2"/>
      <c r="S45" s="2"/>
      <c r="T45" s="2"/>
    </row>
    <row r="46" spans="1:20" s="6" customFormat="1" x14ac:dyDescent="0.2">
      <c r="A46" s="10"/>
      <c r="B46" s="10"/>
      <c r="C46" s="10"/>
      <c r="D46" s="20"/>
      <c r="F46" s="8"/>
      <c r="G46" s="2"/>
      <c r="H46" s="2"/>
      <c r="I46" s="2"/>
      <c r="J46" s="2"/>
      <c r="K46" s="2"/>
      <c r="L46" s="2"/>
      <c r="M46" s="101"/>
      <c r="N46" s="101"/>
      <c r="O46" s="101"/>
      <c r="P46" s="101"/>
      <c r="Q46" s="101"/>
      <c r="R46" s="2"/>
      <c r="S46" s="2"/>
      <c r="T46" s="2"/>
    </row>
    <row r="47" spans="1:20" s="6" customFormat="1" x14ac:dyDescent="0.2">
      <c r="A47" s="10"/>
      <c r="B47" s="10"/>
      <c r="C47" s="10"/>
      <c r="D47" s="20"/>
      <c r="F47" s="8"/>
      <c r="G47" s="2"/>
      <c r="H47" s="2"/>
      <c r="I47" s="2"/>
      <c r="J47" s="2"/>
      <c r="K47" s="2"/>
      <c r="L47" s="2"/>
      <c r="M47" s="101"/>
      <c r="N47" s="101"/>
      <c r="O47" s="101"/>
      <c r="P47" s="101"/>
      <c r="Q47" s="101"/>
      <c r="R47" s="2"/>
      <c r="S47" s="2"/>
      <c r="T47" s="2"/>
    </row>
    <row r="48" spans="1:20" s="6" customFormat="1" x14ac:dyDescent="0.2">
      <c r="A48" s="23"/>
      <c r="B48" s="24"/>
      <c r="C48" s="24"/>
      <c r="D48" s="20"/>
      <c r="F48" s="8"/>
      <c r="G48" s="2"/>
      <c r="H48" s="2"/>
      <c r="I48" s="2"/>
      <c r="J48" s="2"/>
      <c r="K48" s="2"/>
      <c r="L48" s="2"/>
      <c r="M48" s="101"/>
      <c r="N48" s="101"/>
      <c r="O48" s="101"/>
      <c r="P48" s="101"/>
      <c r="Q48" s="101"/>
      <c r="R48" s="2"/>
      <c r="S48" s="2"/>
      <c r="T48" s="2"/>
    </row>
    <row r="49" spans="1:20" s="6" customFormat="1" x14ac:dyDescent="0.2">
      <c r="A49" s="25"/>
      <c r="B49" s="11"/>
      <c r="C49" s="12"/>
      <c r="D49" s="20"/>
      <c r="F49" s="8"/>
      <c r="G49" s="2"/>
      <c r="H49" s="2"/>
      <c r="I49" s="2"/>
      <c r="J49" s="2"/>
      <c r="K49" s="2"/>
      <c r="L49" s="2"/>
      <c r="M49" s="101"/>
      <c r="N49" s="101"/>
      <c r="O49" s="101"/>
      <c r="P49" s="101"/>
      <c r="Q49" s="101"/>
      <c r="R49" s="2"/>
      <c r="S49" s="2"/>
      <c r="T49" s="2"/>
    </row>
    <row r="50" spans="1:20" s="6" customFormat="1" x14ac:dyDescent="0.2">
      <c r="A50" s="10"/>
      <c r="B50" s="11"/>
      <c r="C50" s="12"/>
      <c r="D50" s="20"/>
      <c r="F50" s="8"/>
      <c r="G50" s="2"/>
      <c r="H50" s="2"/>
      <c r="I50" s="2"/>
      <c r="J50" s="2"/>
      <c r="K50" s="2"/>
      <c r="L50" s="2"/>
      <c r="M50" s="101"/>
      <c r="N50" s="101"/>
      <c r="O50" s="101"/>
      <c r="P50" s="101"/>
      <c r="Q50" s="101"/>
      <c r="R50" s="2"/>
      <c r="S50" s="2"/>
      <c r="T50" s="2"/>
    </row>
    <row r="51" spans="1:20" s="6" customFormat="1" x14ac:dyDescent="0.2">
      <c r="A51" s="10"/>
      <c r="B51" s="11"/>
      <c r="C51" s="12"/>
      <c r="D51" s="20"/>
      <c r="F51" s="8"/>
      <c r="G51" s="2"/>
      <c r="H51" s="2"/>
      <c r="I51" s="2"/>
      <c r="J51" s="2"/>
      <c r="K51" s="2"/>
      <c r="L51" s="2"/>
      <c r="M51" s="101"/>
      <c r="N51" s="101"/>
      <c r="O51" s="101"/>
      <c r="P51" s="101"/>
      <c r="Q51" s="101"/>
      <c r="R51" s="2"/>
      <c r="S51" s="2"/>
      <c r="T51" s="2"/>
    </row>
    <row r="52" spans="1:20" s="6" customFormat="1" x14ac:dyDescent="0.2">
      <c r="A52" s="10"/>
      <c r="B52" s="11"/>
      <c r="C52" s="12"/>
      <c r="D52" s="20"/>
      <c r="F52" s="8"/>
      <c r="G52" s="2"/>
      <c r="H52" s="2"/>
      <c r="I52" s="2"/>
      <c r="J52" s="2"/>
      <c r="K52" s="2"/>
      <c r="L52" s="2"/>
      <c r="M52" s="101"/>
      <c r="N52" s="101"/>
      <c r="O52" s="101"/>
      <c r="P52" s="101"/>
      <c r="Q52" s="101"/>
      <c r="R52" s="2"/>
      <c r="S52" s="2"/>
      <c r="T52" s="2"/>
    </row>
    <row r="53" spans="1:20" s="6" customFormat="1" x14ac:dyDescent="0.2">
      <c r="A53" s="10"/>
      <c r="B53" s="11"/>
      <c r="C53" s="12"/>
      <c r="D53" s="20"/>
      <c r="F53" s="8"/>
      <c r="G53" s="2"/>
      <c r="H53" s="2"/>
      <c r="I53" s="2"/>
      <c r="J53" s="2"/>
      <c r="K53" s="2"/>
      <c r="L53" s="2"/>
      <c r="M53" s="101"/>
      <c r="N53" s="101"/>
      <c r="O53" s="101"/>
      <c r="P53" s="101"/>
      <c r="Q53" s="101"/>
      <c r="R53" s="2"/>
      <c r="S53" s="2"/>
      <c r="T53" s="2"/>
    </row>
    <row r="54" spans="1:20" s="6" customFormat="1" x14ac:dyDescent="0.2">
      <c r="A54" s="10"/>
      <c r="B54" s="11"/>
      <c r="C54" s="12"/>
      <c r="D54" s="20"/>
      <c r="F54" s="8"/>
      <c r="G54" s="2"/>
      <c r="H54" s="2"/>
      <c r="I54" s="2"/>
      <c r="J54" s="2"/>
      <c r="K54" s="2"/>
      <c r="L54" s="2"/>
      <c r="M54" s="101"/>
      <c r="N54" s="101"/>
      <c r="O54" s="101"/>
      <c r="P54" s="101"/>
      <c r="Q54" s="101"/>
      <c r="R54" s="2"/>
      <c r="S54" s="2"/>
      <c r="T54" s="2"/>
    </row>
    <row r="55" spans="1:20" s="6" customFormat="1" x14ac:dyDescent="0.2">
      <c r="A55" s="10"/>
      <c r="B55" s="10"/>
      <c r="C55" s="10"/>
      <c r="D55" s="20"/>
      <c r="F55" s="8"/>
      <c r="G55" s="2"/>
      <c r="H55" s="2"/>
      <c r="I55" s="2"/>
      <c r="J55" s="2"/>
      <c r="K55" s="2"/>
      <c r="L55" s="2"/>
      <c r="M55" s="101"/>
      <c r="N55" s="101"/>
      <c r="O55" s="101"/>
      <c r="P55" s="101"/>
      <c r="Q55" s="101"/>
      <c r="R55" s="2"/>
      <c r="S55" s="2"/>
      <c r="T55" s="2"/>
    </row>
    <row r="56" spans="1:20" s="6" customFormat="1" x14ac:dyDescent="0.2">
      <c r="A56" s="10"/>
      <c r="B56" s="10"/>
      <c r="C56" s="10"/>
      <c r="D56" s="20"/>
      <c r="F56" s="8"/>
      <c r="G56" s="2"/>
      <c r="H56" s="2"/>
      <c r="I56" s="2"/>
      <c r="J56" s="2"/>
      <c r="K56" s="2"/>
      <c r="L56" s="2"/>
      <c r="M56" s="101"/>
      <c r="N56" s="101"/>
      <c r="O56" s="101"/>
      <c r="P56" s="101"/>
      <c r="Q56" s="101"/>
      <c r="R56" s="2"/>
      <c r="S56" s="2"/>
      <c r="T56" s="2"/>
    </row>
    <row r="57" spans="1:20" s="6" customFormat="1" x14ac:dyDescent="0.2">
      <c r="A57" s="10"/>
      <c r="B57" s="10"/>
      <c r="C57" s="10"/>
      <c r="D57" s="20"/>
      <c r="F57" s="8"/>
      <c r="G57" s="2"/>
      <c r="H57" s="2"/>
      <c r="I57" s="2"/>
      <c r="J57" s="2"/>
      <c r="K57" s="2"/>
      <c r="L57" s="2"/>
      <c r="M57" s="101"/>
      <c r="N57" s="101"/>
      <c r="O57" s="101"/>
      <c r="P57" s="101"/>
      <c r="Q57" s="101"/>
      <c r="R57" s="2"/>
      <c r="S57" s="2"/>
      <c r="T57" s="2"/>
    </row>
    <row r="58" spans="1:20" s="6" customFormat="1" x14ac:dyDescent="0.2">
      <c r="A58" s="10"/>
      <c r="B58" s="10"/>
      <c r="C58" s="10"/>
      <c r="D58" s="20"/>
      <c r="F58" s="8"/>
      <c r="G58" s="2"/>
      <c r="H58" s="2"/>
      <c r="I58" s="2"/>
      <c r="J58" s="2"/>
      <c r="K58" s="2"/>
      <c r="L58" s="2"/>
      <c r="M58" s="101"/>
      <c r="N58" s="101"/>
      <c r="O58" s="101"/>
      <c r="P58" s="101"/>
      <c r="Q58" s="101"/>
      <c r="R58" s="2"/>
      <c r="S58" s="2"/>
      <c r="T58" s="2"/>
    </row>
    <row r="59" spans="1:20" s="6" customFormat="1" x14ac:dyDescent="0.2">
      <c r="A59" s="10"/>
      <c r="B59" s="10"/>
      <c r="C59" s="10"/>
      <c r="D59" s="20"/>
      <c r="F59" s="8"/>
      <c r="G59" s="2"/>
      <c r="H59" s="2"/>
      <c r="I59" s="2"/>
      <c r="J59" s="2"/>
      <c r="K59" s="2"/>
      <c r="L59" s="2"/>
      <c r="M59" s="101"/>
      <c r="N59" s="101"/>
      <c r="O59" s="101"/>
      <c r="P59" s="101"/>
      <c r="Q59" s="101"/>
      <c r="R59" s="2"/>
      <c r="S59" s="2"/>
      <c r="T59" s="2"/>
    </row>
    <row r="60" spans="1:20" s="6" customFormat="1" x14ac:dyDescent="0.2">
      <c r="A60" s="10"/>
      <c r="B60" s="10"/>
      <c r="C60" s="10"/>
      <c r="D60" s="20"/>
      <c r="F60" s="8"/>
      <c r="G60" s="2"/>
      <c r="H60" s="2"/>
      <c r="I60" s="2"/>
      <c r="J60" s="2"/>
      <c r="K60" s="2"/>
      <c r="L60" s="2"/>
      <c r="M60" s="101"/>
      <c r="N60" s="101"/>
      <c r="O60" s="101"/>
      <c r="P60" s="101"/>
      <c r="Q60" s="101"/>
      <c r="R60" s="2"/>
      <c r="S60" s="2"/>
      <c r="T60" s="2"/>
    </row>
    <row r="61" spans="1:20" s="6" customFormat="1" x14ac:dyDescent="0.2">
      <c r="A61" s="10"/>
      <c r="B61" s="10"/>
      <c r="C61" s="10"/>
      <c r="D61" s="20"/>
      <c r="F61" s="8"/>
      <c r="G61" s="2"/>
      <c r="H61" s="2"/>
      <c r="I61" s="2"/>
      <c r="J61" s="2"/>
      <c r="K61" s="2"/>
      <c r="L61" s="2"/>
      <c r="M61" s="101"/>
      <c r="N61" s="101"/>
      <c r="O61" s="101"/>
      <c r="P61" s="101"/>
      <c r="Q61" s="101"/>
      <c r="R61" s="2"/>
      <c r="S61" s="2"/>
      <c r="T61" s="2"/>
    </row>
    <row r="62" spans="1:20" s="6" customFormat="1" x14ac:dyDescent="0.2">
      <c r="A62" s="10"/>
      <c r="B62" s="10"/>
      <c r="C62" s="10"/>
      <c r="D62" s="20"/>
      <c r="F62" s="8"/>
      <c r="G62" s="2"/>
      <c r="H62" s="2"/>
      <c r="I62" s="2"/>
      <c r="J62" s="2"/>
      <c r="K62" s="2"/>
      <c r="L62" s="2"/>
      <c r="M62" s="101"/>
      <c r="N62" s="101"/>
      <c r="O62" s="101"/>
      <c r="P62" s="101"/>
      <c r="Q62" s="101"/>
      <c r="R62" s="2"/>
      <c r="S62" s="2"/>
      <c r="T62" s="2"/>
    </row>
    <row r="63" spans="1:20" s="6" customFormat="1" x14ac:dyDescent="0.2">
      <c r="A63" s="10"/>
      <c r="B63" s="10"/>
      <c r="C63" s="10"/>
      <c r="D63" s="20"/>
      <c r="F63" s="8"/>
      <c r="G63" s="2"/>
      <c r="H63" s="2"/>
      <c r="I63" s="2"/>
      <c r="J63" s="2"/>
      <c r="K63" s="2"/>
      <c r="L63" s="2"/>
      <c r="M63" s="101"/>
      <c r="N63" s="101"/>
      <c r="O63" s="101"/>
      <c r="P63" s="101"/>
      <c r="Q63" s="101"/>
      <c r="R63" s="2"/>
      <c r="S63" s="2"/>
      <c r="T63" s="2"/>
    </row>
    <row r="64" spans="1:20" s="6" customFormat="1" x14ac:dyDescent="0.2">
      <c r="A64" s="10"/>
      <c r="B64" s="10"/>
      <c r="C64" s="10"/>
      <c r="F64" s="8"/>
      <c r="G64" s="2"/>
      <c r="H64" s="2"/>
      <c r="I64" s="2"/>
      <c r="J64" s="2"/>
      <c r="K64" s="2"/>
      <c r="L64" s="2"/>
      <c r="M64" s="101"/>
      <c r="N64" s="101"/>
      <c r="O64" s="101"/>
      <c r="P64" s="101"/>
      <c r="Q64" s="101"/>
      <c r="R64" s="2"/>
      <c r="S64" s="2"/>
      <c r="T64" s="2"/>
    </row>
    <row r="65" spans="1:20" s="6" customFormat="1" x14ac:dyDescent="0.2">
      <c r="A65" s="10"/>
      <c r="B65" s="10"/>
      <c r="C65" s="10"/>
      <c r="F65" s="8"/>
      <c r="G65" s="2"/>
      <c r="H65" s="2"/>
      <c r="I65" s="2"/>
      <c r="J65" s="2"/>
      <c r="K65" s="2"/>
      <c r="L65" s="2"/>
      <c r="M65" s="101"/>
      <c r="N65" s="101"/>
      <c r="O65" s="101"/>
      <c r="P65" s="101"/>
      <c r="Q65" s="101"/>
      <c r="R65" s="2"/>
      <c r="S65" s="2"/>
      <c r="T65" s="2"/>
    </row>
    <row r="66" spans="1:20" s="6" customFormat="1" x14ac:dyDescent="0.2">
      <c r="A66" s="10"/>
      <c r="B66" s="10"/>
      <c r="C66" s="10"/>
      <c r="F66" s="8"/>
      <c r="G66" s="2"/>
      <c r="H66" s="2"/>
      <c r="I66" s="2"/>
      <c r="J66" s="2"/>
      <c r="K66" s="2"/>
      <c r="L66" s="2"/>
      <c r="M66" s="101"/>
      <c r="N66" s="101"/>
      <c r="O66" s="101"/>
      <c r="P66" s="101"/>
      <c r="Q66" s="101"/>
      <c r="R66" s="2"/>
      <c r="S66" s="2"/>
      <c r="T66" s="2"/>
    </row>
  </sheetData>
  <mergeCells count="8">
    <mergeCell ref="A16:E16"/>
    <mergeCell ref="A17:E17"/>
    <mergeCell ref="A1:E1"/>
    <mergeCell ref="A3:A4"/>
    <mergeCell ref="B4:D4"/>
    <mergeCell ref="E3:E4"/>
    <mergeCell ref="A14:E14"/>
    <mergeCell ref="A15:E15"/>
  </mergeCells>
  <printOptions gridLines="1"/>
  <pageMargins left="0.70866141732283472" right="0.70866141732283472" top="0.74803149606299213" bottom="0.74803149606299213" header="0.31496062992125984" footer="0.31496062992125984"/>
  <pageSetup paperSize="9" scale="92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6658A-B13E-4039-AD6F-B076729E6173}">
  <dimension ref="A1:C12"/>
  <sheetViews>
    <sheetView workbookViewId="0">
      <selection sqref="A1:C1"/>
    </sheetView>
  </sheetViews>
  <sheetFormatPr baseColWidth="10" defaultRowHeight="12.75" x14ac:dyDescent="0.2"/>
  <cols>
    <col min="1" max="3" width="32.7109375" style="2" customWidth="1"/>
    <col min="4" max="16384" width="11.42578125" style="2"/>
  </cols>
  <sheetData>
    <row r="1" spans="1:3" x14ac:dyDescent="0.2">
      <c r="A1" s="129" t="s">
        <v>60</v>
      </c>
      <c r="B1" s="129"/>
      <c r="C1" s="129"/>
    </row>
    <row r="2" spans="1:3" x14ac:dyDescent="0.2">
      <c r="C2" s="26" t="s">
        <v>3</v>
      </c>
    </row>
    <row r="3" spans="1:3" ht="30" customHeight="1" x14ac:dyDescent="0.2">
      <c r="A3" s="104" t="s">
        <v>10</v>
      </c>
      <c r="B3" s="105" t="s">
        <v>46</v>
      </c>
      <c r="C3" s="105" t="s">
        <v>55</v>
      </c>
    </row>
    <row r="4" spans="1:3" x14ac:dyDescent="0.2">
      <c r="A4" s="92" t="s">
        <v>69</v>
      </c>
      <c r="B4" s="91">
        <v>-9.5</v>
      </c>
      <c r="C4" s="91">
        <v>-7.4</v>
      </c>
    </row>
    <row r="5" spans="1:3" x14ac:dyDescent="0.2">
      <c r="A5" s="92" t="s">
        <v>68</v>
      </c>
      <c r="B5" s="91">
        <v>4.9000000000000004</v>
      </c>
      <c r="C5" s="91">
        <v>6.9</v>
      </c>
    </row>
    <row r="6" spans="1:3" x14ac:dyDescent="0.2">
      <c r="A6" s="92" t="s">
        <v>70</v>
      </c>
      <c r="B6" s="91">
        <v>-1.8</v>
      </c>
      <c r="C6" s="91">
        <v>2.7</v>
      </c>
    </row>
    <row r="7" spans="1:3" x14ac:dyDescent="0.2">
      <c r="A7" s="92" t="s">
        <v>71</v>
      </c>
      <c r="B7" s="91">
        <v>-6</v>
      </c>
      <c r="C7" s="91">
        <v>1.4</v>
      </c>
    </row>
    <row r="8" spans="1:3" x14ac:dyDescent="0.2">
      <c r="A8" s="93" t="s">
        <v>72</v>
      </c>
      <c r="B8" s="90">
        <v>-1.1000000000000001</v>
      </c>
      <c r="C8" s="90">
        <v>1.2</v>
      </c>
    </row>
    <row r="9" spans="1:3" x14ac:dyDescent="0.2">
      <c r="A9" s="130" t="s">
        <v>100</v>
      </c>
      <c r="B9" s="130"/>
      <c r="C9" s="130"/>
    </row>
    <row r="10" spans="1:3" ht="30" customHeight="1" x14ac:dyDescent="0.2">
      <c r="A10" s="128" t="s">
        <v>61</v>
      </c>
      <c r="B10" s="128"/>
      <c r="C10" s="128"/>
    </row>
    <row r="11" spans="1:3" ht="15.75" x14ac:dyDescent="0.2">
      <c r="A11" s="116" t="s">
        <v>44</v>
      </c>
      <c r="B11" s="116"/>
      <c r="C11" s="116"/>
    </row>
    <row r="12" spans="1:3" x14ac:dyDescent="0.2">
      <c r="A12" s="117" t="s">
        <v>39</v>
      </c>
      <c r="B12" s="117"/>
      <c r="C12" s="117"/>
    </row>
  </sheetData>
  <mergeCells count="5">
    <mergeCell ref="A10:C10"/>
    <mergeCell ref="A1:C1"/>
    <mergeCell ref="A9:C9"/>
    <mergeCell ref="A11:C11"/>
    <mergeCell ref="A12:C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8D997-CAC0-4213-A72C-C4D63EE62F11}">
  <sheetPr>
    <pageSetUpPr fitToPage="1"/>
  </sheetPr>
  <dimension ref="A1:E42"/>
  <sheetViews>
    <sheetView zoomScaleNormal="100" workbookViewId="0">
      <selection sqref="A1:E1"/>
    </sheetView>
  </sheetViews>
  <sheetFormatPr baseColWidth="10" defaultRowHeight="12.75" x14ac:dyDescent="0.2"/>
  <cols>
    <col min="1" max="1" width="12.7109375" style="2" customWidth="1"/>
    <col min="2" max="5" width="20.7109375" style="2" customWidth="1"/>
    <col min="6" max="16384" width="11.42578125" style="2"/>
  </cols>
  <sheetData>
    <row r="1" spans="1:5" x14ac:dyDescent="0.2">
      <c r="A1" s="132" t="s">
        <v>58</v>
      </c>
      <c r="B1" s="132"/>
      <c r="C1" s="132"/>
      <c r="D1" s="132"/>
      <c r="E1" s="132"/>
    </row>
    <row r="2" spans="1:5" ht="15.75" x14ac:dyDescent="0.3">
      <c r="E2" s="13" t="s">
        <v>74</v>
      </c>
    </row>
    <row r="3" spans="1:5" ht="30" customHeight="1" x14ac:dyDescent="0.2">
      <c r="A3" s="104" t="s">
        <v>10</v>
      </c>
      <c r="B3" s="106" t="s">
        <v>1</v>
      </c>
      <c r="C3" s="60" t="s">
        <v>4</v>
      </c>
      <c r="D3" s="60" t="s">
        <v>5</v>
      </c>
      <c r="E3" s="108" t="s">
        <v>6</v>
      </c>
    </row>
    <row r="4" spans="1:5" x14ac:dyDescent="0.2">
      <c r="A4" s="94">
        <v>1990</v>
      </c>
      <c r="B4" s="41">
        <v>130</v>
      </c>
      <c r="C4" s="41">
        <v>293</v>
      </c>
      <c r="D4" s="41">
        <v>279</v>
      </c>
      <c r="E4" s="146">
        <v>702</v>
      </c>
    </row>
    <row r="5" spans="1:5" x14ac:dyDescent="0.2">
      <c r="A5" s="94">
        <v>1991</v>
      </c>
      <c r="B5" s="42">
        <v>139</v>
      </c>
      <c r="C5" s="42">
        <v>298</v>
      </c>
      <c r="D5" s="42">
        <v>267</v>
      </c>
      <c r="E5" s="147">
        <v>703</v>
      </c>
    </row>
    <row r="6" spans="1:5" x14ac:dyDescent="0.2">
      <c r="A6" s="94">
        <v>1992</v>
      </c>
      <c r="B6" s="42">
        <v>140</v>
      </c>
      <c r="C6" s="42">
        <v>291</v>
      </c>
      <c r="D6" s="42">
        <v>261</v>
      </c>
      <c r="E6" s="147">
        <v>693</v>
      </c>
    </row>
    <row r="7" spans="1:5" x14ac:dyDescent="0.2">
      <c r="A7" s="94">
        <v>1993</v>
      </c>
      <c r="B7" s="42">
        <v>139</v>
      </c>
      <c r="C7" s="42">
        <v>283</v>
      </c>
      <c r="D7" s="42">
        <v>225</v>
      </c>
      <c r="E7" s="147">
        <v>646</v>
      </c>
    </row>
    <row r="8" spans="1:5" x14ac:dyDescent="0.2">
      <c r="A8" s="94">
        <v>1994</v>
      </c>
      <c r="B8" s="42">
        <v>135</v>
      </c>
      <c r="C8" s="42">
        <v>272</v>
      </c>
      <c r="D8" s="42">
        <v>234</v>
      </c>
      <c r="E8" s="147">
        <v>641</v>
      </c>
    </row>
    <row r="9" spans="1:5" x14ac:dyDescent="0.2">
      <c r="A9" s="94">
        <v>1995</v>
      </c>
      <c r="B9" s="42">
        <v>136</v>
      </c>
      <c r="C9" s="42">
        <v>268</v>
      </c>
      <c r="D9" s="42">
        <v>257</v>
      </c>
      <c r="E9" s="147">
        <v>660</v>
      </c>
    </row>
    <row r="10" spans="1:5" x14ac:dyDescent="0.2">
      <c r="A10" s="94">
        <v>1996</v>
      </c>
      <c r="B10" s="42">
        <v>144</v>
      </c>
      <c r="C10" s="42">
        <v>269</v>
      </c>
      <c r="D10" s="42">
        <v>257</v>
      </c>
      <c r="E10" s="147">
        <v>669</v>
      </c>
    </row>
    <row r="11" spans="1:5" x14ac:dyDescent="0.2">
      <c r="A11" s="94">
        <v>1997</v>
      </c>
      <c r="B11" s="42">
        <v>141</v>
      </c>
      <c r="C11" s="42">
        <v>247</v>
      </c>
      <c r="D11" s="42">
        <v>249</v>
      </c>
      <c r="E11" s="147">
        <v>637</v>
      </c>
    </row>
    <row r="12" spans="1:5" x14ac:dyDescent="0.2">
      <c r="A12" s="94">
        <v>1998</v>
      </c>
      <c r="B12" s="42">
        <v>145</v>
      </c>
      <c r="C12" s="42">
        <v>288</v>
      </c>
      <c r="D12" s="42">
        <v>269</v>
      </c>
      <c r="E12" s="147">
        <v>702</v>
      </c>
    </row>
    <row r="13" spans="1:5" x14ac:dyDescent="0.2">
      <c r="A13" s="94">
        <v>1999</v>
      </c>
      <c r="B13" s="42">
        <v>147</v>
      </c>
      <c r="C13" s="42">
        <v>288</v>
      </c>
      <c r="D13" s="42">
        <v>263</v>
      </c>
      <c r="E13" s="147">
        <v>698</v>
      </c>
    </row>
    <row r="14" spans="1:5" x14ac:dyDescent="0.2">
      <c r="A14" s="94">
        <v>2000</v>
      </c>
      <c r="B14" s="42">
        <v>145</v>
      </c>
      <c r="C14" s="42">
        <v>272</v>
      </c>
      <c r="D14" s="42">
        <v>274</v>
      </c>
      <c r="E14" s="147">
        <v>692</v>
      </c>
    </row>
    <row r="15" spans="1:5" x14ac:dyDescent="0.2">
      <c r="A15" s="94">
        <v>2001</v>
      </c>
      <c r="B15" s="42">
        <v>152</v>
      </c>
      <c r="C15" s="42">
        <v>275</v>
      </c>
      <c r="D15" s="42">
        <v>274</v>
      </c>
      <c r="E15" s="147">
        <v>700</v>
      </c>
    </row>
    <row r="16" spans="1:5" x14ac:dyDescent="0.2">
      <c r="A16" s="94">
        <v>2002</v>
      </c>
      <c r="B16" s="42">
        <v>150</v>
      </c>
      <c r="C16" s="42">
        <v>274</v>
      </c>
      <c r="D16" s="42">
        <v>279</v>
      </c>
      <c r="E16" s="147">
        <v>703</v>
      </c>
    </row>
    <row r="17" spans="1:5" x14ac:dyDescent="0.2">
      <c r="A17" s="94">
        <v>2003</v>
      </c>
      <c r="B17" s="42">
        <v>152</v>
      </c>
      <c r="C17" s="42">
        <v>280</v>
      </c>
      <c r="D17" s="42">
        <v>307</v>
      </c>
      <c r="E17" s="147">
        <v>739</v>
      </c>
    </row>
    <row r="18" spans="1:5" x14ac:dyDescent="0.2">
      <c r="A18" s="94">
        <v>2004</v>
      </c>
      <c r="B18" s="42">
        <v>155</v>
      </c>
      <c r="C18" s="42">
        <v>276</v>
      </c>
      <c r="D18" s="42">
        <v>339</v>
      </c>
      <c r="E18" s="147">
        <v>769</v>
      </c>
    </row>
    <row r="19" spans="1:5" x14ac:dyDescent="0.2">
      <c r="A19" s="94">
        <v>2005</v>
      </c>
      <c r="B19" s="42">
        <v>152</v>
      </c>
      <c r="C19" s="42">
        <v>275</v>
      </c>
      <c r="D19" s="42">
        <v>356</v>
      </c>
      <c r="E19" s="147">
        <v>782</v>
      </c>
    </row>
    <row r="20" spans="1:5" x14ac:dyDescent="0.2">
      <c r="A20" s="94">
        <v>2006</v>
      </c>
      <c r="B20" s="42">
        <v>149</v>
      </c>
      <c r="C20" s="42">
        <v>267</v>
      </c>
      <c r="D20" s="42">
        <v>374</v>
      </c>
      <c r="E20" s="147">
        <v>791</v>
      </c>
    </row>
    <row r="21" spans="1:5" x14ac:dyDescent="0.2">
      <c r="A21" s="94">
        <v>2007</v>
      </c>
      <c r="B21" s="42">
        <v>139</v>
      </c>
      <c r="C21" s="42">
        <v>271</v>
      </c>
      <c r="D21" s="42">
        <v>396</v>
      </c>
      <c r="E21" s="147">
        <v>807</v>
      </c>
    </row>
    <row r="22" spans="1:5" x14ac:dyDescent="0.2">
      <c r="A22" s="94">
        <v>2008</v>
      </c>
      <c r="B22" s="42">
        <v>141</v>
      </c>
      <c r="C22" s="42">
        <v>264</v>
      </c>
      <c r="D22" s="42">
        <v>411</v>
      </c>
      <c r="E22" s="147">
        <v>816</v>
      </c>
    </row>
    <row r="23" spans="1:5" x14ac:dyDescent="0.2">
      <c r="A23" s="94">
        <v>2009</v>
      </c>
      <c r="B23" s="42">
        <v>142</v>
      </c>
      <c r="C23" s="42">
        <v>260</v>
      </c>
      <c r="D23" s="42">
        <v>346</v>
      </c>
      <c r="E23" s="147">
        <v>748</v>
      </c>
    </row>
    <row r="24" spans="1:5" x14ac:dyDescent="0.2">
      <c r="A24" s="94">
        <v>2010</v>
      </c>
      <c r="B24" s="42">
        <v>140</v>
      </c>
      <c r="C24" s="42">
        <v>254</v>
      </c>
      <c r="D24" s="42">
        <v>355</v>
      </c>
      <c r="E24" s="147">
        <v>749</v>
      </c>
    </row>
    <row r="25" spans="1:5" x14ac:dyDescent="0.2">
      <c r="A25" s="94">
        <v>2011</v>
      </c>
      <c r="B25" s="42">
        <v>132</v>
      </c>
      <c r="C25" s="42">
        <v>238</v>
      </c>
      <c r="D25" s="42">
        <v>370</v>
      </c>
      <c r="E25" s="147">
        <v>740</v>
      </c>
    </row>
    <row r="26" spans="1:5" x14ac:dyDescent="0.2">
      <c r="A26" s="94">
        <v>2012</v>
      </c>
      <c r="B26" s="42">
        <v>136</v>
      </c>
      <c r="C26" s="42">
        <v>238</v>
      </c>
      <c r="D26" s="42">
        <v>338</v>
      </c>
      <c r="E26" s="147">
        <v>713</v>
      </c>
    </row>
    <row r="27" spans="1:5" x14ac:dyDescent="0.2">
      <c r="A27" s="94">
        <v>2013</v>
      </c>
      <c r="B27" s="42">
        <v>137</v>
      </c>
      <c r="C27" s="42">
        <v>235</v>
      </c>
      <c r="D27" s="42">
        <v>333</v>
      </c>
      <c r="E27" s="147">
        <v>705</v>
      </c>
    </row>
    <row r="28" spans="1:5" x14ac:dyDescent="0.2">
      <c r="A28" s="94">
        <v>2014</v>
      </c>
      <c r="B28" s="42">
        <v>123</v>
      </c>
      <c r="C28" s="42">
        <v>222</v>
      </c>
      <c r="D28" s="42">
        <v>326</v>
      </c>
      <c r="E28" s="147">
        <v>670</v>
      </c>
    </row>
    <row r="29" spans="1:5" x14ac:dyDescent="0.2">
      <c r="A29" s="94">
        <v>2015</v>
      </c>
      <c r="B29" s="42">
        <v>126</v>
      </c>
      <c r="C29" s="42">
        <v>220</v>
      </c>
      <c r="D29" s="42">
        <v>302</v>
      </c>
      <c r="E29" s="147">
        <v>648</v>
      </c>
    </row>
    <row r="30" spans="1:5" x14ac:dyDescent="0.2">
      <c r="A30" s="94">
        <v>2016</v>
      </c>
      <c r="B30" s="42">
        <v>130</v>
      </c>
      <c r="C30" s="42">
        <v>221</v>
      </c>
      <c r="D30" s="42">
        <v>298</v>
      </c>
      <c r="E30" s="147">
        <v>648</v>
      </c>
    </row>
    <row r="31" spans="1:5" x14ac:dyDescent="0.2">
      <c r="A31" s="94">
        <v>2017</v>
      </c>
      <c r="B31" s="42">
        <v>126</v>
      </c>
      <c r="C31" s="42">
        <v>224</v>
      </c>
      <c r="D31" s="42">
        <v>305</v>
      </c>
      <c r="E31" s="147">
        <v>656</v>
      </c>
    </row>
    <row r="32" spans="1:5" x14ac:dyDescent="0.2">
      <c r="A32" s="94">
        <v>2018</v>
      </c>
      <c r="B32" s="42">
        <v>121</v>
      </c>
      <c r="C32" s="42">
        <v>216</v>
      </c>
      <c r="D32" s="42">
        <v>318</v>
      </c>
      <c r="E32" s="147">
        <v>654</v>
      </c>
    </row>
    <row r="33" spans="1:5" x14ac:dyDescent="0.2">
      <c r="A33" s="94">
        <v>2019</v>
      </c>
      <c r="B33" s="42">
        <v>119</v>
      </c>
      <c r="C33" s="42">
        <v>212</v>
      </c>
      <c r="D33" s="42">
        <v>307</v>
      </c>
      <c r="E33" s="147">
        <v>637</v>
      </c>
    </row>
    <row r="34" spans="1:5" x14ac:dyDescent="0.2">
      <c r="A34" s="94">
        <v>2020</v>
      </c>
      <c r="B34" s="42">
        <v>103</v>
      </c>
      <c r="C34" s="42">
        <v>196</v>
      </c>
      <c r="D34" s="42">
        <v>281</v>
      </c>
      <c r="E34" s="147">
        <v>581</v>
      </c>
    </row>
    <row r="35" spans="1:5" x14ac:dyDescent="0.2">
      <c r="A35" s="94">
        <v>2021</v>
      </c>
      <c r="B35" s="42">
        <v>113</v>
      </c>
      <c r="C35" s="42">
        <v>198</v>
      </c>
      <c r="D35" s="42">
        <v>309</v>
      </c>
      <c r="E35" s="147">
        <v>620</v>
      </c>
    </row>
    <row r="36" spans="1:5" x14ac:dyDescent="0.2">
      <c r="A36" s="94">
        <v>2022</v>
      </c>
      <c r="B36" s="42">
        <v>106</v>
      </c>
      <c r="C36" s="42">
        <v>189</v>
      </c>
      <c r="D36" s="42">
        <v>326</v>
      </c>
      <c r="E36" s="147">
        <v>621</v>
      </c>
    </row>
    <row r="37" spans="1:5" x14ac:dyDescent="0.2">
      <c r="A37" s="94">
        <v>2023</v>
      </c>
      <c r="B37" s="42">
        <v>100</v>
      </c>
      <c r="C37" s="42">
        <v>185</v>
      </c>
      <c r="D37" s="42">
        <v>297</v>
      </c>
      <c r="E37" s="147">
        <v>583</v>
      </c>
    </row>
    <row r="38" spans="1:5" x14ac:dyDescent="0.2">
      <c r="A38" s="89">
        <v>2024</v>
      </c>
      <c r="B38" s="43">
        <v>99</v>
      </c>
      <c r="C38" s="43">
        <v>180</v>
      </c>
      <c r="D38" s="43">
        <v>284</v>
      </c>
      <c r="E38" s="148">
        <v>563</v>
      </c>
    </row>
    <row r="39" spans="1:5" ht="30" customHeight="1" x14ac:dyDescent="0.2">
      <c r="A39" s="131" t="s">
        <v>112</v>
      </c>
      <c r="B39" s="131"/>
      <c r="C39" s="131"/>
      <c r="D39" s="131"/>
      <c r="E39" s="131"/>
    </row>
    <row r="40" spans="1:5" ht="15.75" x14ac:dyDescent="0.3">
      <c r="A40" s="133" t="s">
        <v>73</v>
      </c>
      <c r="B40" s="133"/>
      <c r="C40" s="133"/>
      <c r="D40" s="133"/>
      <c r="E40" s="133"/>
    </row>
    <row r="41" spans="1:5" ht="15.75" x14ac:dyDescent="0.2">
      <c r="A41" s="116" t="s">
        <v>44</v>
      </c>
      <c r="B41" s="116"/>
      <c r="C41" s="116"/>
      <c r="D41" s="116"/>
      <c r="E41" s="116"/>
    </row>
    <row r="42" spans="1:5" x14ac:dyDescent="0.2">
      <c r="A42" s="133" t="s">
        <v>37</v>
      </c>
      <c r="B42" s="133"/>
      <c r="C42" s="133"/>
      <c r="D42" s="133"/>
      <c r="E42" s="133"/>
    </row>
  </sheetData>
  <mergeCells count="5">
    <mergeCell ref="A39:E39"/>
    <mergeCell ref="A1:E1"/>
    <mergeCell ref="A40:E40"/>
    <mergeCell ref="A41:E41"/>
    <mergeCell ref="A42:E42"/>
  </mergeCells>
  <pageMargins left="0.70866141732283472" right="0.70866141732283472" top="0.74803149606299213" bottom="0.74803149606299213" header="0.31496062992125984" footer="0.31496062992125984"/>
  <pageSetup paperSize="9" scale="87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AC772-BB88-487E-90E3-F4D4BCB4A8F7}">
  <sheetPr>
    <pageSetUpPr fitToPage="1"/>
  </sheetPr>
  <dimension ref="A1:E21"/>
  <sheetViews>
    <sheetView zoomScaleNormal="100" workbookViewId="0">
      <selection sqref="A1:E1"/>
    </sheetView>
  </sheetViews>
  <sheetFormatPr baseColWidth="10" defaultRowHeight="12.75" x14ac:dyDescent="0.2"/>
  <cols>
    <col min="1" max="1" width="12.7109375" style="2" customWidth="1"/>
    <col min="2" max="5" width="20.7109375" style="2" customWidth="1"/>
    <col min="6" max="16384" width="11.42578125" style="2"/>
  </cols>
  <sheetData>
    <row r="1" spans="1:5" s="22" customFormat="1" ht="30" customHeight="1" x14ac:dyDescent="0.25">
      <c r="A1" s="134" t="s">
        <v>66</v>
      </c>
      <c r="B1" s="134"/>
      <c r="C1" s="134"/>
      <c r="D1" s="134"/>
      <c r="E1" s="134"/>
    </row>
    <row r="2" spans="1:5" ht="15.75" x14ac:dyDescent="0.3">
      <c r="A2" s="33"/>
      <c r="B2" s="33"/>
      <c r="C2" s="33"/>
      <c r="D2" s="33"/>
      <c r="E2" s="26" t="s">
        <v>82</v>
      </c>
    </row>
    <row r="3" spans="1:5" ht="25.5" x14ac:dyDescent="0.2">
      <c r="A3" s="104" t="s">
        <v>10</v>
      </c>
      <c r="B3" s="60" t="s">
        <v>7</v>
      </c>
      <c r="C3" s="60" t="s">
        <v>8</v>
      </c>
      <c r="D3" s="60" t="s">
        <v>9</v>
      </c>
      <c r="E3" s="60" t="s">
        <v>11</v>
      </c>
    </row>
    <row r="4" spans="1:5" x14ac:dyDescent="0.2">
      <c r="A4" s="87">
        <v>2010</v>
      </c>
      <c r="B4" s="41">
        <v>183</v>
      </c>
      <c r="C4" s="41">
        <v>914</v>
      </c>
      <c r="D4" s="41">
        <v>567</v>
      </c>
      <c r="E4" s="41">
        <v>275</v>
      </c>
    </row>
    <row r="5" spans="1:5" x14ac:dyDescent="0.2">
      <c r="A5" s="88">
        <v>2011</v>
      </c>
      <c r="B5" s="42">
        <v>172</v>
      </c>
      <c r="C5" s="42">
        <v>908</v>
      </c>
      <c r="D5" s="42">
        <v>552</v>
      </c>
      <c r="E5" s="42">
        <v>268</v>
      </c>
    </row>
    <row r="6" spans="1:5" x14ac:dyDescent="0.2">
      <c r="A6" s="88">
        <v>2012</v>
      </c>
      <c r="B6" s="3">
        <v>171</v>
      </c>
      <c r="C6" s="3">
        <v>834</v>
      </c>
      <c r="D6" s="3">
        <v>516</v>
      </c>
      <c r="E6" s="3">
        <v>256</v>
      </c>
    </row>
    <row r="7" spans="1:5" x14ac:dyDescent="0.2">
      <c r="A7" s="88">
        <v>2013</v>
      </c>
      <c r="B7" s="3">
        <v>168</v>
      </c>
      <c r="C7" s="3">
        <v>793</v>
      </c>
      <c r="D7" s="3">
        <v>491</v>
      </c>
      <c r="E7" s="3">
        <v>250</v>
      </c>
    </row>
    <row r="8" spans="1:5" x14ac:dyDescent="0.2">
      <c r="A8" s="88">
        <v>2014</v>
      </c>
      <c r="B8" s="3">
        <v>157</v>
      </c>
      <c r="C8" s="3">
        <v>745</v>
      </c>
      <c r="D8" s="3">
        <v>463</v>
      </c>
      <c r="E8" s="3">
        <v>237</v>
      </c>
    </row>
    <row r="9" spans="1:5" x14ac:dyDescent="0.2">
      <c r="A9" s="88">
        <v>2015</v>
      </c>
      <c r="B9" s="3">
        <v>155</v>
      </c>
      <c r="C9" s="3">
        <v>653</v>
      </c>
      <c r="D9" s="3">
        <v>427</v>
      </c>
      <c r="E9" s="3">
        <v>223</v>
      </c>
    </row>
    <row r="10" spans="1:5" x14ac:dyDescent="0.2">
      <c r="A10" s="88">
        <v>2016</v>
      </c>
      <c r="B10" s="3">
        <v>153</v>
      </c>
      <c r="C10" s="3">
        <v>621</v>
      </c>
      <c r="D10" s="3">
        <v>410</v>
      </c>
      <c r="E10" s="3">
        <v>218</v>
      </c>
    </row>
    <row r="11" spans="1:5" x14ac:dyDescent="0.2">
      <c r="A11" s="88">
        <v>2017</v>
      </c>
      <c r="B11" s="3">
        <v>154</v>
      </c>
      <c r="C11" s="3">
        <v>618</v>
      </c>
      <c r="D11" s="3">
        <v>417</v>
      </c>
      <c r="E11" s="3">
        <v>218</v>
      </c>
    </row>
    <row r="12" spans="1:5" x14ac:dyDescent="0.2">
      <c r="A12" s="88">
        <v>2018</v>
      </c>
      <c r="B12" s="3">
        <v>147</v>
      </c>
      <c r="C12" s="3">
        <v>626</v>
      </c>
      <c r="D12" s="3">
        <v>409</v>
      </c>
      <c r="E12" s="3">
        <v>217</v>
      </c>
    </row>
    <row r="13" spans="1:5" x14ac:dyDescent="0.2">
      <c r="A13" s="88">
        <v>2019</v>
      </c>
      <c r="B13" s="3">
        <v>141</v>
      </c>
      <c r="C13" s="3">
        <v>591</v>
      </c>
      <c r="D13" s="3">
        <v>386</v>
      </c>
      <c r="E13" s="3">
        <v>207</v>
      </c>
    </row>
    <row r="14" spans="1:5" x14ac:dyDescent="0.2">
      <c r="A14" s="88">
        <v>2020</v>
      </c>
      <c r="B14" s="3">
        <v>137</v>
      </c>
      <c r="C14" s="3">
        <v>597</v>
      </c>
      <c r="D14" s="3">
        <v>394</v>
      </c>
      <c r="E14" s="3">
        <v>202</v>
      </c>
    </row>
    <row r="15" spans="1:5" x14ac:dyDescent="0.2">
      <c r="A15" s="88">
        <v>2021</v>
      </c>
      <c r="B15" s="3">
        <v>135</v>
      </c>
      <c r="C15" s="3">
        <v>626</v>
      </c>
      <c r="D15" s="3">
        <v>412</v>
      </c>
      <c r="E15" s="3">
        <v>203</v>
      </c>
    </row>
    <row r="16" spans="1:5" x14ac:dyDescent="0.2">
      <c r="A16" s="88">
        <v>2022</v>
      </c>
      <c r="B16" s="3">
        <v>129</v>
      </c>
      <c r="C16" s="3">
        <v>617</v>
      </c>
      <c r="D16" s="3">
        <v>404</v>
      </c>
      <c r="E16" s="3">
        <v>200</v>
      </c>
    </row>
    <row r="17" spans="1:5" x14ac:dyDescent="0.2">
      <c r="A17" s="88">
        <v>2023</v>
      </c>
      <c r="B17" s="3">
        <v>119</v>
      </c>
      <c r="C17" s="3">
        <v>562</v>
      </c>
      <c r="D17" s="3">
        <v>352</v>
      </c>
      <c r="E17" s="3">
        <v>187</v>
      </c>
    </row>
    <row r="18" spans="1:5" x14ac:dyDescent="0.2">
      <c r="A18" s="89">
        <v>2024</v>
      </c>
      <c r="B18" s="4">
        <v>117</v>
      </c>
      <c r="C18" s="4">
        <v>543</v>
      </c>
      <c r="D18" s="4">
        <v>338</v>
      </c>
      <c r="E18" s="4">
        <v>180</v>
      </c>
    </row>
    <row r="19" spans="1:5" s="22" customFormat="1" ht="30" customHeight="1" x14ac:dyDescent="0.25">
      <c r="A19" s="135" t="s">
        <v>113</v>
      </c>
      <c r="B19" s="135"/>
      <c r="C19" s="135"/>
      <c r="D19" s="135"/>
      <c r="E19" s="135"/>
    </row>
    <row r="20" spans="1:5" x14ac:dyDescent="0.2">
      <c r="A20" s="136" t="s">
        <v>45</v>
      </c>
      <c r="B20" s="136"/>
      <c r="C20" s="136"/>
      <c r="D20" s="136"/>
      <c r="E20" s="136"/>
    </row>
    <row r="21" spans="1:5" x14ac:dyDescent="0.2">
      <c r="A21" s="137" t="s">
        <v>37</v>
      </c>
      <c r="B21" s="137"/>
      <c r="C21" s="137"/>
      <c r="D21" s="137"/>
      <c r="E21" s="137"/>
    </row>
  </sheetData>
  <mergeCells count="4">
    <mergeCell ref="A1:E1"/>
    <mergeCell ref="A19:E19"/>
    <mergeCell ref="A20:E20"/>
    <mergeCell ref="A21:E21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CDE79-EAF7-4893-B792-D87A7383E908}">
  <dimension ref="A1:C21"/>
  <sheetViews>
    <sheetView workbookViewId="0">
      <selection sqref="A1:C1"/>
    </sheetView>
  </sheetViews>
  <sheetFormatPr baseColWidth="10" defaultRowHeight="12.75" x14ac:dyDescent="0.2"/>
  <cols>
    <col min="1" max="1" width="95.5703125" style="2" customWidth="1"/>
    <col min="2" max="3" width="24.7109375" style="2" customWidth="1"/>
    <col min="4" max="16384" width="11.42578125" style="2"/>
  </cols>
  <sheetData>
    <row r="1" spans="1:3" x14ac:dyDescent="0.2">
      <c r="A1" s="129" t="s">
        <v>62</v>
      </c>
      <c r="B1" s="129"/>
      <c r="C1" s="129"/>
    </row>
    <row r="3" spans="1:3" ht="30" customHeight="1" x14ac:dyDescent="0.2">
      <c r="A3" s="82" t="s">
        <v>43</v>
      </c>
      <c r="B3" s="60" t="s">
        <v>63</v>
      </c>
      <c r="C3" s="60" t="s">
        <v>59</v>
      </c>
    </row>
    <row r="4" spans="1:3" s="5" customFormat="1" x14ac:dyDescent="0.2">
      <c r="A4" s="79" t="s">
        <v>38</v>
      </c>
      <c r="B4" s="80">
        <v>305</v>
      </c>
      <c r="C4" s="81">
        <v>-1.1000000000000001</v>
      </c>
    </row>
    <row r="5" spans="1:3" x14ac:dyDescent="0.2">
      <c r="A5" s="45" t="s">
        <v>84</v>
      </c>
      <c r="B5" s="46">
        <v>78</v>
      </c>
      <c r="C5" s="58">
        <v>-0.6</v>
      </c>
    </row>
    <row r="6" spans="1:3" x14ac:dyDescent="0.2">
      <c r="A6" s="45" t="s">
        <v>85</v>
      </c>
      <c r="B6" s="46">
        <v>0</v>
      </c>
      <c r="C6" s="58">
        <v>-3.4</v>
      </c>
    </row>
    <row r="7" spans="1:3" x14ac:dyDescent="0.2">
      <c r="A7" s="45" t="s">
        <v>86</v>
      </c>
      <c r="B7" s="46">
        <v>7</v>
      </c>
      <c r="C7" s="58">
        <v>-5.9</v>
      </c>
    </row>
    <row r="8" spans="1:3" x14ac:dyDescent="0.2">
      <c r="A8" s="45" t="s">
        <v>87</v>
      </c>
      <c r="B8" s="46">
        <v>10</v>
      </c>
      <c r="C8" s="58">
        <v>-1</v>
      </c>
    </row>
    <row r="9" spans="1:3" x14ac:dyDescent="0.2">
      <c r="A9" s="45" t="s">
        <v>88</v>
      </c>
      <c r="B9" s="46">
        <v>15</v>
      </c>
      <c r="C9" s="58">
        <v>0</v>
      </c>
    </row>
    <row r="10" spans="1:3" x14ac:dyDescent="0.2">
      <c r="A10" s="45" t="s">
        <v>89</v>
      </c>
      <c r="B10" s="46">
        <v>16</v>
      </c>
      <c r="C10" s="58">
        <v>-7.3</v>
      </c>
    </row>
    <row r="11" spans="1:3" x14ac:dyDescent="0.2">
      <c r="A11" s="45" t="s">
        <v>90</v>
      </c>
      <c r="B11" s="46">
        <v>15</v>
      </c>
      <c r="C11" s="58">
        <v>1.7</v>
      </c>
    </row>
    <row r="12" spans="1:3" x14ac:dyDescent="0.2">
      <c r="A12" s="45" t="s">
        <v>91</v>
      </c>
      <c r="B12" s="46">
        <v>6</v>
      </c>
      <c r="C12" s="58">
        <v>-1.6</v>
      </c>
    </row>
    <row r="13" spans="1:3" x14ac:dyDescent="0.2">
      <c r="A13" s="45" t="s">
        <v>92</v>
      </c>
      <c r="B13" s="46">
        <v>17</v>
      </c>
      <c r="C13" s="58">
        <v>-17.899999999999999</v>
      </c>
    </row>
    <row r="14" spans="1:3" x14ac:dyDescent="0.2">
      <c r="A14" s="45" t="s">
        <v>93</v>
      </c>
      <c r="B14" s="46">
        <v>27</v>
      </c>
      <c r="C14" s="58">
        <v>-0.3</v>
      </c>
    </row>
    <row r="15" spans="1:3" x14ac:dyDescent="0.2">
      <c r="A15" s="45" t="s">
        <v>94</v>
      </c>
      <c r="B15" s="46">
        <v>9</v>
      </c>
      <c r="C15" s="58">
        <v>-0.4</v>
      </c>
    </row>
    <row r="16" spans="1:3" x14ac:dyDescent="0.2">
      <c r="A16" s="45" t="s">
        <v>95</v>
      </c>
      <c r="B16" s="46">
        <v>11</v>
      </c>
      <c r="C16" s="58">
        <v>-2.4</v>
      </c>
    </row>
    <row r="17" spans="1:3" x14ac:dyDescent="0.2">
      <c r="A17" s="45" t="s">
        <v>96</v>
      </c>
      <c r="B17" s="46">
        <v>65</v>
      </c>
      <c r="C17" s="58">
        <v>5.0999999999999996</v>
      </c>
    </row>
    <row r="18" spans="1:3" x14ac:dyDescent="0.2">
      <c r="A18" s="47" t="s">
        <v>97</v>
      </c>
      <c r="B18" s="48">
        <v>30</v>
      </c>
      <c r="C18" s="59">
        <v>-0.5</v>
      </c>
    </row>
    <row r="19" spans="1:3" ht="15.75" x14ac:dyDescent="0.2">
      <c r="A19" s="138" t="s">
        <v>98</v>
      </c>
      <c r="B19" s="138"/>
      <c r="C19" s="138"/>
    </row>
    <row r="20" spans="1:3" ht="15.75" x14ac:dyDescent="0.2">
      <c r="A20" s="139" t="s">
        <v>44</v>
      </c>
      <c r="B20" s="139"/>
      <c r="C20" s="139"/>
    </row>
    <row r="21" spans="1:3" x14ac:dyDescent="0.2">
      <c r="A21" s="133" t="s">
        <v>75</v>
      </c>
      <c r="B21" s="133"/>
      <c r="C21" s="133"/>
    </row>
  </sheetData>
  <mergeCells count="4">
    <mergeCell ref="A19:C19"/>
    <mergeCell ref="A20:C20"/>
    <mergeCell ref="A21:C21"/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F5AA6-DE39-43F4-B6B1-E871AF1C0859}">
  <sheetPr>
    <pageSetUpPr fitToPage="1"/>
  </sheetPr>
  <dimension ref="A1:M42"/>
  <sheetViews>
    <sheetView zoomScaleNormal="100" workbookViewId="0">
      <selection sqref="A1:M1"/>
    </sheetView>
  </sheetViews>
  <sheetFormatPr baseColWidth="10" defaultColWidth="11.42578125" defaultRowHeight="12.75" x14ac:dyDescent="0.2"/>
  <cols>
    <col min="1" max="1" width="12.7109375" style="2" customWidth="1"/>
    <col min="2" max="2" width="18.7109375" style="5" customWidth="1"/>
    <col min="3" max="4" width="18.7109375" style="2" customWidth="1"/>
    <col min="5" max="5" width="18.7109375" style="5" customWidth="1"/>
    <col min="6" max="7" width="18.7109375" style="2" customWidth="1"/>
    <col min="8" max="8" width="18.7109375" style="5" customWidth="1"/>
    <col min="9" max="10" width="18.7109375" style="2" customWidth="1"/>
    <col min="11" max="11" width="18.7109375" style="5" customWidth="1"/>
    <col min="12" max="13" width="18.7109375" style="2" customWidth="1"/>
    <col min="14" max="16384" width="11.42578125" style="2"/>
  </cols>
  <sheetData>
    <row r="1" spans="1:13" x14ac:dyDescent="0.2">
      <c r="A1" s="140" t="s">
        <v>64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</row>
    <row r="3" spans="1:13" ht="60" customHeight="1" x14ac:dyDescent="0.2">
      <c r="A3" s="142" t="s">
        <v>10</v>
      </c>
      <c r="B3" s="106" t="s">
        <v>18</v>
      </c>
      <c r="C3" s="60" t="s">
        <v>1</v>
      </c>
      <c r="D3" s="60" t="s">
        <v>19</v>
      </c>
      <c r="E3" s="106" t="s">
        <v>20</v>
      </c>
      <c r="F3" s="60" t="s">
        <v>1</v>
      </c>
      <c r="G3" s="60" t="s">
        <v>21</v>
      </c>
      <c r="H3" s="106" t="s">
        <v>18</v>
      </c>
      <c r="I3" s="60" t="s">
        <v>1</v>
      </c>
      <c r="J3" s="60" t="s">
        <v>19</v>
      </c>
      <c r="K3" s="106" t="s">
        <v>20</v>
      </c>
      <c r="L3" s="60" t="s">
        <v>1</v>
      </c>
      <c r="M3" s="60" t="s">
        <v>21</v>
      </c>
    </row>
    <row r="4" spans="1:13" x14ac:dyDescent="0.2">
      <c r="A4" s="143"/>
      <c r="B4" s="141" t="s">
        <v>101</v>
      </c>
      <c r="C4" s="141"/>
      <c r="D4" s="141"/>
      <c r="E4" s="141"/>
      <c r="F4" s="141"/>
      <c r="G4" s="141"/>
      <c r="H4" s="141" t="s">
        <v>102</v>
      </c>
      <c r="I4" s="141"/>
      <c r="J4" s="141"/>
      <c r="K4" s="141"/>
      <c r="L4" s="141"/>
      <c r="M4" s="141"/>
    </row>
    <row r="5" spans="1:13" x14ac:dyDescent="0.2">
      <c r="A5" s="109">
        <v>1990</v>
      </c>
      <c r="B5" s="83">
        <v>589208</v>
      </c>
      <c r="C5" s="61">
        <v>130420</v>
      </c>
      <c r="D5" s="61">
        <v>458788</v>
      </c>
      <c r="E5" s="83">
        <v>702062</v>
      </c>
      <c r="F5" s="61">
        <v>130420</v>
      </c>
      <c r="G5" s="61">
        <v>571642</v>
      </c>
      <c r="H5" s="85">
        <v>10.1</v>
      </c>
      <c r="I5" s="7">
        <v>2.2000000000000002</v>
      </c>
      <c r="J5" s="7">
        <v>7.9</v>
      </c>
      <c r="K5" s="85">
        <v>12.1</v>
      </c>
      <c r="L5" s="7">
        <v>2.2000000000000002</v>
      </c>
      <c r="M5" s="7">
        <v>9.8000000000000007</v>
      </c>
    </row>
    <row r="6" spans="1:13" x14ac:dyDescent="0.2">
      <c r="A6" s="110">
        <v>1991</v>
      </c>
      <c r="B6" s="83">
        <v>613928</v>
      </c>
      <c r="C6" s="61">
        <v>138835</v>
      </c>
      <c r="D6" s="61">
        <v>475094</v>
      </c>
      <c r="E6" s="83">
        <v>703138</v>
      </c>
      <c r="F6" s="61">
        <v>138835</v>
      </c>
      <c r="G6" s="61">
        <v>564304</v>
      </c>
      <c r="H6" s="85">
        <v>10.5</v>
      </c>
      <c r="I6" s="7">
        <v>2.4</v>
      </c>
      <c r="J6" s="7">
        <v>8.1</v>
      </c>
      <c r="K6" s="85">
        <v>12</v>
      </c>
      <c r="L6" s="7">
        <v>2.4</v>
      </c>
      <c r="M6" s="7">
        <v>9.6999999999999993</v>
      </c>
    </row>
    <row r="7" spans="1:13" x14ac:dyDescent="0.2">
      <c r="A7" s="110">
        <v>1992</v>
      </c>
      <c r="B7" s="83">
        <v>603664</v>
      </c>
      <c r="C7" s="61">
        <v>140394</v>
      </c>
      <c r="D7" s="61">
        <v>463271</v>
      </c>
      <c r="E7" s="83">
        <v>692607</v>
      </c>
      <c r="F7" s="61">
        <v>140394</v>
      </c>
      <c r="G7" s="61">
        <v>552214</v>
      </c>
      <c r="H7" s="85">
        <v>10.3</v>
      </c>
      <c r="I7" s="7">
        <v>2.4</v>
      </c>
      <c r="J7" s="7">
        <v>7.9</v>
      </c>
      <c r="K7" s="85">
        <v>11.8</v>
      </c>
      <c r="L7" s="7">
        <v>2.4</v>
      </c>
      <c r="M7" s="7">
        <v>9.4</v>
      </c>
    </row>
    <row r="8" spans="1:13" x14ac:dyDescent="0.2">
      <c r="A8" s="110">
        <v>1993</v>
      </c>
      <c r="B8" s="83">
        <v>581855</v>
      </c>
      <c r="C8" s="61">
        <v>138802</v>
      </c>
      <c r="D8" s="61">
        <v>443052</v>
      </c>
      <c r="E8" s="83">
        <v>645992</v>
      </c>
      <c r="F8" s="61">
        <v>138802</v>
      </c>
      <c r="G8" s="61">
        <v>507190</v>
      </c>
      <c r="H8" s="85">
        <v>9.9</v>
      </c>
      <c r="I8" s="7">
        <v>2.4</v>
      </c>
      <c r="J8" s="7">
        <v>7.5</v>
      </c>
      <c r="K8" s="85">
        <v>11</v>
      </c>
      <c r="L8" s="7">
        <v>2.4</v>
      </c>
      <c r="M8" s="7">
        <v>8.6</v>
      </c>
    </row>
    <row r="9" spans="1:13" x14ac:dyDescent="0.2">
      <c r="A9" s="110">
        <v>1994</v>
      </c>
      <c r="B9" s="83">
        <v>573710</v>
      </c>
      <c r="C9" s="61">
        <v>134935</v>
      </c>
      <c r="D9" s="61">
        <v>438775</v>
      </c>
      <c r="E9" s="83">
        <v>641012</v>
      </c>
      <c r="F9" s="61">
        <v>134935</v>
      </c>
      <c r="G9" s="61">
        <v>506077</v>
      </c>
      <c r="H9" s="85">
        <v>9.6999999999999993</v>
      </c>
      <c r="I9" s="7">
        <v>2.2999999999999998</v>
      </c>
      <c r="J9" s="7">
        <v>7.4</v>
      </c>
      <c r="K9" s="85">
        <v>10.8</v>
      </c>
      <c r="L9" s="7">
        <v>2.2999999999999998</v>
      </c>
      <c r="M9" s="7">
        <v>8.5</v>
      </c>
    </row>
    <row r="10" spans="1:13" x14ac:dyDescent="0.2">
      <c r="A10" s="110">
        <v>1995</v>
      </c>
      <c r="B10" s="83">
        <v>579425</v>
      </c>
      <c r="C10" s="61">
        <v>135975</v>
      </c>
      <c r="D10" s="61">
        <v>443451</v>
      </c>
      <c r="E10" s="83">
        <v>660326</v>
      </c>
      <c r="F10" s="61">
        <v>135975</v>
      </c>
      <c r="G10" s="61">
        <v>524352</v>
      </c>
      <c r="H10" s="85">
        <v>9.8000000000000007</v>
      </c>
      <c r="I10" s="7">
        <v>2.2999999999999998</v>
      </c>
      <c r="J10" s="7">
        <v>7.5</v>
      </c>
      <c r="K10" s="85">
        <v>11.1</v>
      </c>
      <c r="L10" s="7">
        <v>2.2999999999999998</v>
      </c>
      <c r="M10" s="7">
        <v>8.8000000000000007</v>
      </c>
    </row>
    <row r="11" spans="1:13" x14ac:dyDescent="0.2">
      <c r="A11" s="110">
        <v>1996</v>
      </c>
      <c r="B11" s="83">
        <v>597964</v>
      </c>
      <c r="C11" s="61">
        <v>143588</v>
      </c>
      <c r="D11" s="61">
        <v>454375</v>
      </c>
      <c r="E11" s="83">
        <v>669364</v>
      </c>
      <c r="F11" s="61">
        <v>143588</v>
      </c>
      <c r="G11" s="61">
        <v>525776</v>
      </c>
      <c r="H11" s="85">
        <v>10</v>
      </c>
      <c r="I11" s="7">
        <v>2.4</v>
      </c>
      <c r="J11" s="7">
        <v>7.6</v>
      </c>
      <c r="K11" s="85">
        <v>11.2</v>
      </c>
      <c r="L11" s="7">
        <v>2.4</v>
      </c>
      <c r="M11" s="7">
        <v>8.8000000000000007</v>
      </c>
    </row>
    <row r="12" spans="1:13" x14ac:dyDescent="0.2">
      <c r="A12" s="110">
        <v>1997</v>
      </c>
      <c r="B12" s="83">
        <v>589680</v>
      </c>
      <c r="C12" s="61">
        <v>140814</v>
      </c>
      <c r="D12" s="61">
        <v>448866</v>
      </c>
      <c r="E12" s="83">
        <v>637232</v>
      </c>
      <c r="F12" s="61">
        <v>140814</v>
      </c>
      <c r="G12" s="61">
        <v>496418</v>
      </c>
      <c r="H12" s="85">
        <v>9.9</v>
      </c>
      <c r="I12" s="7">
        <v>2.4</v>
      </c>
      <c r="J12" s="7">
        <v>7.5</v>
      </c>
      <c r="K12" s="85">
        <v>10.7</v>
      </c>
      <c r="L12" s="7">
        <v>2.4</v>
      </c>
      <c r="M12" s="7">
        <v>8.3000000000000007</v>
      </c>
    </row>
    <row r="13" spans="1:13" x14ac:dyDescent="0.2">
      <c r="A13" s="110">
        <v>1998</v>
      </c>
      <c r="B13" s="83">
        <v>603062</v>
      </c>
      <c r="C13" s="61">
        <v>144981</v>
      </c>
      <c r="D13" s="61">
        <v>458081</v>
      </c>
      <c r="E13" s="83">
        <v>701613</v>
      </c>
      <c r="F13" s="61">
        <v>144981</v>
      </c>
      <c r="G13" s="61">
        <v>556632</v>
      </c>
      <c r="H13" s="85">
        <v>10</v>
      </c>
      <c r="I13" s="7">
        <v>2.4</v>
      </c>
      <c r="J13" s="7">
        <v>7.6</v>
      </c>
      <c r="K13" s="85">
        <v>11.7</v>
      </c>
      <c r="L13" s="7">
        <v>2.4</v>
      </c>
      <c r="M13" s="7">
        <v>9.3000000000000007</v>
      </c>
    </row>
    <row r="14" spans="1:13" x14ac:dyDescent="0.2">
      <c r="A14" s="110">
        <v>1999</v>
      </c>
      <c r="B14" s="83">
        <v>598720</v>
      </c>
      <c r="C14" s="61">
        <v>146945</v>
      </c>
      <c r="D14" s="61">
        <v>451774</v>
      </c>
      <c r="E14" s="83">
        <v>698002</v>
      </c>
      <c r="F14" s="61">
        <v>146945</v>
      </c>
      <c r="G14" s="61">
        <v>551057</v>
      </c>
      <c r="H14" s="85">
        <v>9.9</v>
      </c>
      <c r="I14" s="7">
        <v>2.4</v>
      </c>
      <c r="J14" s="7">
        <v>7.5</v>
      </c>
      <c r="K14" s="85">
        <v>11.6</v>
      </c>
      <c r="L14" s="7">
        <v>2.4</v>
      </c>
      <c r="M14" s="7">
        <v>9.1</v>
      </c>
    </row>
    <row r="15" spans="1:13" x14ac:dyDescent="0.2">
      <c r="A15" s="110">
        <v>2000</v>
      </c>
      <c r="B15" s="83">
        <v>589898</v>
      </c>
      <c r="C15" s="61">
        <v>145384</v>
      </c>
      <c r="D15" s="61">
        <v>444514</v>
      </c>
      <c r="E15" s="83">
        <v>691874</v>
      </c>
      <c r="F15" s="61">
        <v>145384</v>
      </c>
      <c r="G15" s="61">
        <v>546490</v>
      </c>
      <c r="H15" s="85">
        <v>9.6999999999999993</v>
      </c>
      <c r="I15" s="7">
        <v>2.4</v>
      </c>
      <c r="J15" s="7">
        <v>7.3</v>
      </c>
      <c r="K15" s="85">
        <v>11.4</v>
      </c>
      <c r="L15" s="7">
        <v>2.4</v>
      </c>
      <c r="M15" s="7">
        <v>9</v>
      </c>
    </row>
    <row r="16" spans="1:13" x14ac:dyDescent="0.2">
      <c r="A16" s="110">
        <v>2001</v>
      </c>
      <c r="B16" s="83">
        <v>595409</v>
      </c>
      <c r="C16" s="61">
        <v>152084</v>
      </c>
      <c r="D16" s="61">
        <v>443325</v>
      </c>
      <c r="E16" s="83">
        <v>700399</v>
      </c>
      <c r="F16" s="61">
        <v>152084</v>
      </c>
      <c r="G16" s="61">
        <v>548315</v>
      </c>
      <c r="H16" s="85">
        <v>9.6999999999999993</v>
      </c>
      <c r="I16" s="7">
        <v>2.5</v>
      </c>
      <c r="J16" s="7">
        <v>7.2</v>
      </c>
      <c r="K16" s="85">
        <v>11.4</v>
      </c>
      <c r="L16" s="7">
        <v>2.5</v>
      </c>
      <c r="M16" s="7">
        <v>9</v>
      </c>
    </row>
    <row r="17" spans="1:13" x14ac:dyDescent="0.2">
      <c r="A17" s="110">
        <v>2002</v>
      </c>
      <c r="B17" s="83">
        <v>588694</v>
      </c>
      <c r="C17" s="61">
        <v>149929</v>
      </c>
      <c r="D17" s="61">
        <v>438765</v>
      </c>
      <c r="E17" s="83">
        <v>703133</v>
      </c>
      <c r="F17" s="61">
        <v>149929</v>
      </c>
      <c r="G17" s="61">
        <v>553204</v>
      </c>
      <c r="H17" s="85">
        <v>9.6</v>
      </c>
      <c r="I17" s="7">
        <v>2.4</v>
      </c>
      <c r="J17" s="7">
        <v>7.1</v>
      </c>
      <c r="K17" s="85">
        <v>11.4</v>
      </c>
      <c r="L17" s="7">
        <v>2.4</v>
      </c>
      <c r="M17" s="7">
        <v>9</v>
      </c>
    </row>
    <row r="18" spans="1:13" x14ac:dyDescent="0.2">
      <c r="A18" s="110">
        <v>2003</v>
      </c>
      <c r="B18" s="83">
        <v>592967</v>
      </c>
      <c r="C18" s="61">
        <v>152085</v>
      </c>
      <c r="D18" s="61">
        <v>440882</v>
      </c>
      <c r="E18" s="83">
        <v>739051</v>
      </c>
      <c r="F18" s="61">
        <v>152085</v>
      </c>
      <c r="G18" s="61">
        <v>586966</v>
      </c>
      <c r="H18" s="85">
        <v>9.6</v>
      </c>
      <c r="I18" s="7">
        <v>2.5</v>
      </c>
      <c r="J18" s="7">
        <v>7.1</v>
      </c>
      <c r="K18" s="85">
        <v>11.9</v>
      </c>
      <c r="L18" s="7">
        <v>2.5</v>
      </c>
      <c r="M18" s="7">
        <v>9.5</v>
      </c>
    </row>
    <row r="19" spans="1:13" x14ac:dyDescent="0.2">
      <c r="A19" s="110">
        <v>2004</v>
      </c>
      <c r="B19" s="83">
        <v>592414</v>
      </c>
      <c r="C19" s="61">
        <v>154767</v>
      </c>
      <c r="D19" s="61">
        <v>437647</v>
      </c>
      <c r="E19" s="83">
        <v>769416</v>
      </c>
      <c r="F19" s="61">
        <v>154767</v>
      </c>
      <c r="G19" s="61">
        <v>614649</v>
      </c>
      <c r="H19" s="85">
        <v>9.5</v>
      </c>
      <c r="I19" s="7">
        <v>2.5</v>
      </c>
      <c r="J19" s="7">
        <v>7</v>
      </c>
      <c r="K19" s="85">
        <v>12.3</v>
      </c>
      <c r="L19" s="7">
        <v>2.5</v>
      </c>
      <c r="M19" s="7">
        <v>9.8000000000000007</v>
      </c>
    </row>
    <row r="20" spans="1:13" x14ac:dyDescent="0.2">
      <c r="A20" s="110">
        <v>2005</v>
      </c>
      <c r="B20" s="83">
        <v>593423</v>
      </c>
      <c r="C20" s="61">
        <v>151867</v>
      </c>
      <c r="D20" s="61">
        <v>441555</v>
      </c>
      <c r="E20" s="83">
        <v>782390</v>
      </c>
      <c r="F20" s="61">
        <v>151867</v>
      </c>
      <c r="G20" s="61">
        <v>630523</v>
      </c>
      <c r="H20" s="85">
        <v>9.4</v>
      </c>
      <c r="I20" s="7">
        <v>2.4</v>
      </c>
      <c r="J20" s="7">
        <v>7</v>
      </c>
      <c r="K20" s="85">
        <v>12.4</v>
      </c>
      <c r="L20" s="7">
        <v>2.4</v>
      </c>
      <c r="M20" s="7">
        <v>10</v>
      </c>
    </row>
    <row r="21" spans="1:13" x14ac:dyDescent="0.2">
      <c r="A21" s="110">
        <v>2006</v>
      </c>
      <c r="B21" s="83">
        <v>583620</v>
      </c>
      <c r="C21" s="61">
        <v>149005</v>
      </c>
      <c r="D21" s="61">
        <v>434614</v>
      </c>
      <c r="E21" s="83">
        <v>790728</v>
      </c>
      <c r="F21" s="61">
        <v>149005</v>
      </c>
      <c r="G21" s="61">
        <v>641723</v>
      </c>
      <c r="H21" s="85">
        <v>9.1999999999999993</v>
      </c>
      <c r="I21" s="7">
        <v>2.4</v>
      </c>
      <c r="J21" s="7">
        <v>6.9</v>
      </c>
      <c r="K21" s="85">
        <v>12.5</v>
      </c>
      <c r="L21" s="7">
        <v>2.4</v>
      </c>
      <c r="M21" s="7">
        <v>10.1</v>
      </c>
    </row>
    <row r="22" spans="1:13" x14ac:dyDescent="0.2">
      <c r="A22" s="110">
        <v>2007</v>
      </c>
      <c r="B22" s="83">
        <v>575551</v>
      </c>
      <c r="C22" s="61">
        <v>139137</v>
      </c>
      <c r="D22" s="61">
        <v>436414</v>
      </c>
      <c r="E22" s="83">
        <v>806850</v>
      </c>
      <c r="F22" s="61">
        <v>139137</v>
      </c>
      <c r="G22" s="61">
        <v>667713</v>
      </c>
      <c r="H22" s="85">
        <v>9</v>
      </c>
      <c r="I22" s="7">
        <v>2.2000000000000002</v>
      </c>
      <c r="J22" s="7">
        <v>6.8</v>
      </c>
      <c r="K22" s="85">
        <v>12.7</v>
      </c>
      <c r="L22" s="7">
        <v>2.2000000000000002</v>
      </c>
      <c r="M22" s="7">
        <v>10.5</v>
      </c>
    </row>
    <row r="23" spans="1:13" x14ac:dyDescent="0.2">
      <c r="A23" s="110">
        <v>2008</v>
      </c>
      <c r="B23" s="83">
        <v>571282</v>
      </c>
      <c r="C23" s="61">
        <v>140993</v>
      </c>
      <c r="D23" s="61">
        <v>430289</v>
      </c>
      <c r="E23" s="83">
        <v>815668</v>
      </c>
      <c r="F23" s="61">
        <v>140993</v>
      </c>
      <c r="G23" s="61">
        <v>674675</v>
      </c>
      <c r="H23" s="85">
        <v>8.9</v>
      </c>
      <c r="I23" s="7">
        <v>2.2000000000000002</v>
      </c>
      <c r="J23" s="7">
        <v>6.7</v>
      </c>
      <c r="K23" s="85">
        <v>12.7</v>
      </c>
      <c r="L23" s="7">
        <v>2.2000000000000002</v>
      </c>
      <c r="M23" s="7">
        <v>10.5</v>
      </c>
    </row>
    <row r="24" spans="1:13" x14ac:dyDescent="0.2">
      <c r="A24" s="110">
        <v>2009</v>
      </c>
      <c r="B24" s="83">
        <v>542843</v>
      </c>
      <c r="C24" s="61">
        <v>141655</v>
      </c>
      <c r="D24" s="61">
        <v>401188</v>
      </c>
      <c r="E24" s="83">
        <v>747585</v>
      </c>
      <c r="F24" s="61">
        <v>141655</v>
      </c>
      <c r="G24" s="61">
        <v>605930</v>
      </c>
      <c r="H24" s="85">
        <v>8.4</v>
      </c>
      <c r="I24" s="7">
        <v>2.2000000000000002</v>
      </c>
      <c r="J24" s="7">
        <v>6.2</v>
      </c>
      <c r="K24" s="85">
        <v>11.6</v>
      </c>
      <c r="L24" s="7">
        <v>2.2000000000000002</v>
      </c>
      <c r="M24" s="7">
        <v>9.4</v>
      </c>
    </row>
    <row r="25" spans="1:13" x14ac:dyDescent="0.2">
      <c r="A25" s="110">
        <v>2010</v>
      </c>
      <c r="B25" s="83">
        <v>547558</v>
      </c>
      <c r="C25" s="61">
        <v>139985</v>
      </c>
      <c r="D25" s="61">
        <v>407573</v>
      </c>
      <c r="E25" s="83">
        <v>748980</v>
      </c>
      <c r="F25" s="61">
        <v>139985</v>
      </c>
      <c r="G25" s="61">
        <v>608995</v>
      </c>
      <c r="H25" s="85">
        <v>8.5</v>
      </c>
      <c r="I25" s="7">
        <v>2.2000000000000002</v>
      </c>
      <c r="J25" s="7">
        <v>6.3</v>
      </c>
      <c r="K25" s="85">
        <v>11.6</v>
      </c>
      <c r="L25" s="7">
        <v>2.2000000000000002</v>
      </c>
      <c r="M25" s="7">
        <v>9.4</v>
      </c>
    </row>
    <row r="26" spans="1:13" x14ac:dyDescent="0.2">
      <c r="A26" s="110">
        <v>2011</v>
      </c>
      <c r="B26" s="83">
        <v>522907</v>
      </c>
      <c r="C26" s="61">
        <v>132202</v>
      </c>
      <c r="D26" s="61">
        <v>390705</v>
      </c>
      <c r="E26" s="83">
        <v>740082</v>
      </c>
      <c r="F26" s="61">
        <v>132202</v>
      </c>
      <c r="G26" s="61">
        <v>607880</v>
      </c>
      <c r="H26" s="85">
        <v>8</v>
      </c>
      <c r="I26" s="7">
        <v>2</v>
      </c>
      <c r="J26" s="7">
        <v>6</v>
      </c>
      <c r="K26" s="85">
        <v>11.4</v>
      </c>
      <c r="L26" s="7">
        <v>2</v>
      </c>
      <c r="M26" s="7">
        <v>9.3000000000000007</v>
      </c>
    </row>
    <row r="27" spans="1:13" x14ac:dyDescent="0.2">
      <c r="A27" s="110">
        <v>2012</v>
      </c>
      <c r="B27" s="83">
        <v>525526</v>
      </c>
      <c r="C27" s="61">
        <v>135851</v>
      </c>
      <c r="D27" s="61">
        <v>389676</v>
      </c>
      <c r="E27" s="83">
        <v>712743</v>
      </c>
      <c r="F27" s="61">
        <v>135851</v>
      </c>
      <c r="G27" s="61">
        <v>576892</v>
      </c>
      <c r="H27" s="85">
        <v>8</v>
      </c>
      <c r="I27" s="7">
        <v>2.1</v>
      </c>
      <c r="J27" s="7">
        <v>6</v>
      </c>
      <c r="K27" s="85">
        <v>10.9</v>
      </c>
      <c r="L27" s="7">
        <v>2.1</v>
      </c>
      <c r="M27" s="7">
        <v>8.8000000000000007</v>
      </c>
    </row>
    <row r="28" spans="1:13" x14ac:dyDescent="0.2">
      <c r="A28" s="110">
        <v>2013</v>
      </c>
      <c r="B28" s="83">
        <v>522306</v>
      </c>
      <c r="C28" s="61">
        <v>136915</v>
      </c>
      <c r="D28" s="61">
        <v>385391</v>
      </c>
      <c r="E28" s="83">
        <v>705011</v>
      </c>
      <c r="F28" s="61">
        <v>136915</v>
      </c>
      <c r="G28" s="61">
        <v>568097</v>
      </c>
      <c r="H28" s="85">
        <v>8</v>
      </c>
      <c r="I28" s="7">
        <v>2.1</v>
      </c>
      <c r="J28" s="7">
        <v>5.9</v>
      </c>
      <c r="K28" s="85">
        <v>10.7</v>
      </c>
      <c r="L28" s="7">
        <v>2.1</v>
      </c>
      <c r="M28" s="7">
        <v>8.6</v>
      </c>
    </row>
    <row r="29" spans="1:13" x14ac:dyDescent="0.2">
      <c r="A29" s="110">
        <v>2014</v>
      </c>
      <c r="B29" s="83">
        <v>487664</v>
      </c>
      <c r="C29" s="61">
        <v>123252</v>
      </c>
      <c r="D29" s="61">
        <v>364412</v>
      </c>
      <c r="E29" s="83">
        <v>670425</v>
      </c>
      <c r="F29" s="61">
        <v>123252</v>
      </c>
      <c r="G29" s="61">
        <v>547173</v>
      </c>
      <c r="H29" s="85">
        <v>7.4</v>
      </c>
      <c r="I29" s="7">
        <v>1.9</v>
      </c>
      <c r="J29" s="7">
        <v>5.5</v>
      </c>
      <c r="K29" s="85">
        <v>10.199999999999999</v>
      </c>
      <c r="L29" s="7">
        <v>1.9</v>
      </c>
      <c r="M29" s="7">
        <v>8.3000000000000007</v>
      </c>
    </row>
    <row r="30" spans="1:13" x14ac:dyDescent="0.2">
      <c r="A30" s="110">
        <v>2015</v>
      </c>
      <c r="B30" s="83">
        <v>489848</v>
      </c>
      <c r="C30" s="61">
        <v>126466</v>
      </c>
      <c r="D30" s="61">
        <v>363382</v>
      </c>
      <c r="E30" s="83">
        <v>647874</v>
      </c>
      <c r="F30" s="61">
        <v>126466</v>
      </c>
      <c r="G30" s="61">
        <v>521409</v>
      </c>
      <c r="H30" s="85">
        <v>7.4</v>
      </c>
      <c r="I30" s="7">
        <v>1.9</v>
      </c>
      <c r="J30" s="7">
        <v>5.5</v>
      </c>
      <c r="K30" s="85">
        <v>9.8000000000000007</v>
      </c>
      <c r="L30" s="7">
        <v>1.9</v>
      </c>
      <c r="M30" s="7">
        <v>7.9</v>
      </c>
    </row>
    <row r="31" spans="1:13" x14ac:dyDescent="0.2">
      <c r="A31" s="110">
        <v>2016</v>
      </c>
      <c r="B31" s="83">
        <v>490622</v>
      </c>
      <c r="C31" s="61">
        <v>129720</v>
      </c>
      <c r="D31" s="61">
        <v>360902</v>
      </c>
      <c r="E31" s="83">
        <v>648498</v>
      </c>
      <c r="F31" s="61">
        <v>129720</v>
      </c>
      <c r="G31" s="61">
        <v>518778</v>
      </c>
      <c r="H31" s="85">
        <v>7.4</v>
      </c>
      <c r="I31" s="7">
        <v>1.9</v>
      </c>
      <c r="J31" s="7">
        <v>5.4</v>
      </c>
      <c r="K31" s="85">
        <v>9.6999999999999993</v>
      </c>
      <c r="L31" s="7">
        <v>1.9</v>
      </c>
      <c r="M31" s="7">
        <v>7.8</v>
      </c>
    </row>
    <row r="32" spans="1:13" x14ac:dyDescent="0.2">
      <c r="A32" s="110">
        <v>2017</v>
      </c>
      <c r="B32" s="83">
        <v>498233</v>
      </c>
      <c r="C32" s="61">
        <v>126452</v>
      </c>
      <c r="D32" s="61">
        <v>371781</v>
      </c>
      <c r="E32" s="83">
        <v>655532</v>
      </c>
      <c r="F32" s="61">
        <v>126452</v>
      </c>
      <c r="G32" s="61">
        <v>529080</v>
      </c>
      <c r="H32" s="85">
        <v>7.5</v>
      </c>
      <c r="I32" s="7">
        <v>1.9</v>
      </c>
      <c r="J32" s="7">
        <v>5.6</v>
      </c>
      <c r="K32" s="85">
        <v>9.8000000000000007</v>
      </c>
      <c r="L32" s="7">
        <v>1.9</v>
      </c>
      <c r="M32" s="7">
        <v>7.9</v>
      </c>
    </row>
    <row r="33" spans="1:13" x14ac:dyDescent="0.2">
      <c r="A33" s="110">
        <v>2018</v>
      </c>
      <c r="B33" s="83">
        <v>480975</v>
      </c>
      <c r="C33" s="61">
        <v>120575</v>
      </c>
      <c r="D33" s="61">
        <v>360399</v>
      </c>
      <c r="E33" s="83">
        <v>654277</v>
      </c>
      <c r="F33" s="61">
        <v>120575</v>
      </c>
      <c r="G33" s="61">
        <v>533702</v>
      </c>
      <c r="H33" s="85">
        <v>7.2</v>
      </c>
      <c r="I33" s="7">
        <v>1.8</v>
      </c>
      <c r="J33" s="7">
        <v>5.4</v>
      </c>
      <c r="K33" s="85">
        <v>9.6999999999999993</v>
      </c>
      <c r="L33" s="7">
        <v>1.8</v>
      </c>
      <c r="M33" s="7">
        <v>8</v>
      </c>
    </row>
    <row r="34" spans="1:13" x14ac:dyDescent="0.2">
      <c r="A34" s="110">
        <v>2019</v>
      </c>
      <c r="B34" s="83">
        <v>470664</v>
      </c>
      <c r="C34" s="61">
        <v>118572</v>
      </c>
      <c r="D34" s="61">
        <v>352091</v>
      </c>
      <c r="E34" s="83">
        <v>637317</v>
      </c>
      <c r="F34" s="61">
        <v>118572</v>
      </c>
      <c r="G34" s="61">
        <v>518745</v>
      </c>
      <c r="H34" s="85">
        <v>7</v>
      </c>
      <c r="I34" s="7">
        <v>1.8</v>
      </c>
      <c r="J34" s="7">
        <v>5.2</v>
      </c>
      <c r="K34" s="85">
        <v>9.5</v>
      </c>
      <c r="L34" s="7">
        <v>1.8</v>
      </c>
      <c r="M34" s="7">
        <v>7.7</v>
      </c>
    </row>
    <row r="35" spans="1:13" x14ac:dyDescent="0.2">
      <c r="A35" s="110">
        <v>2020</v>
      </c>
      <c r="B35" s="83">
        <v>421970</v>
      </c>
      <c r="C35" s="61">
        <v>103469</v>
      </c>
      <c r="D35" s="61">
        <v>318501</v>
      </c>
      <c r="E35" s="83">
        <v>580548</v>
      </c>
      <c r="F35" s="61">
        <v>103469</v>
      </c>
      <c r="G35" s="61">
        <v>477079</v>
      </c>
      <c r="H35" s="85">
        <v>6.2</v>
      </c>
      <c r="I35" s="7">
        <v>1.5</v>
      </c>
      <c r="J35" s="7">
        <v>4.7</v>
      </c>
      <c r="K35" s="85">
        <v>8.6</v>
      </c>
      <c r="L35" s="7">
        <v>1.5</v>
      </c>
      <c r="M35" s="7">
        <v>7.1</v>
      </c>
    </row>
    <row r="36" spans="1:13" x14ac:dyDescent="0.2">
      <c r="A36" s="110">
        <v>2021</v>
      </c>
      <c r="B36" s="83">
        <v>447215</v>
      </c>
      <c r="C36" s="61">
        <v>113132</v>
      </c>
      <c r="D36" s="61">
        <v>334083</v>
      </c>
      <c r="E36" s="83">
        <v>619769</v>
      </c>
      <c r="F36" s="61">
        <v>113132</v>
      </c>
      <c r="G36" s="61">
        <v>506637</v>
      </c>
      <c r="H36" s="85">
        <v>6.6</v>
      </c>
      <c r="I36" s="7">
        <v>1.7</v>
      </c>
      <c r="J36" s="7">
        <v>4.9000000000000004</v>
      </c>
      <c r="K36" s="85">
        <v>9.1</v>
      </c>
      <c r="L36" s="7">
        <v>1.7</v>
      </c>
      <c r="M36" s="7">
        <v>7.5</v>
      </c>
    </row>
    <row r="37" spans="1:13" x14ac:dyDescent="0.2">
      <c r="A37" s="110">
        <v>2022</v>
      </c>
      <c r="B37" s="83">
        <v>434121</v>
      </c>
      <c r="C37" s="61">
        <v>106126</v>
      </c>
      <c r="D37" s="61">
        <v>327995</v>
      </c>
      <c r="E37" s="83">
        <v>620723</v>
      </c>
      <c r="F37" s="61">
        <v>106126</v>
      </c>
      <c r="G37" s="61">
        <v>514597</v>
      </c>
      <c r="H37" s="85">
        <v>6.4</v>
      </c>
      <c r="I37" s="7">
        <v>1.6</v>
      </c>
      <c r="J37" s="7">
        <v>4.8</v>
      </c>
      <c r="K37" s="85">
        <v>9.1</v>
      </c>
      <c r="L37" s="7">
        <v>1.6</v>
      </c>
      <c r="M37" s="7">
        <v>7.5</v>
      </c>
    </row>
    <row r="38" spans="1:13" x14ac:dyDescent="0.2">
      <c r="A38" s="110">
        <v>2023</v>
      </c>
      <c r="B38" s="83">
        <v>408224</v>
      </c>
      <c r="C38" s="61">
        <v>99980</v>
      </c>
      <c r="D38" s="61">
        <v>308244</v>
      </c>
      <c r="E38" s="83">
        <v>582561</v>
      </c>
      <c r="F38" s="61">
        <v>99980</v>
      </c>
      <c r="G38" s="61">
        <v>482581</v>
      </c>
      <c r="H38" s="85">
        <v>6</v>
      </c>
      <c r="I38" s="7">
        <v>1.5</v>
      </c>
      <c r="J38" s="7">
        <v>4.5</v>
      </c>
      <c r="K38" s="85">
        <v>8.5</v>
      </c>
      <c r="L38" s="7">
        <v>1.5</v>
      </c>
      <c r="M38" s="7">
        <v>7.1</v>
      </c>
    </row>
    <row r="39" spans="1:13" x14ac:dyDescent="0.2">
      <c r="A39" s="111">
        <v>2024</v>
      </c>
      <c r="B39" s="84">
        <v>404417</v>
      </c>
      <c r="C39" s="62">
        <v>99422</v>
      </c>
      <c r="D39" s="62">
        <v>304995</v>
      </c>
      <c r="E39" s="84">
        <v>562827</v>
      </c>
      <c r="F39" s="62">
        <v>99422</v>
      </c>
      <c r="G39" s="62">
        <v>463405</v>
      </c>
      <c r="H39" s="86">
        <v>5.9</v>
      </c>
      <c r="I39" s="32">
        <v>1.5</v>
      </c>
      <c r="J39" s="32">
        <v>4.4000000000000004</v>
      </c>
      <c r="K39" s="86">
        <v>8.1999999999999993</v>
      </c>
      <c r="L39" s="32">
        <v>1.5</v>
      </c>
      <c r="M39" s="32">
        <v>6.8</v>
      </c>
    </row>
    <row r="40" spans="1:13" ht="15.75" x14ac:dyDescent="0.2">
      <c r="A40" s="107" t="s">
        <v>114</v>
      </c>
      <c r="B40" s="113"/>
      <c r="C40" s="113"/>
      <c r="D40" s="113"/>
      <c r="E40" s="113"/>
      <c r="F40" s="113"/>
      <c r="G40" s="113"/>
      <c r="H40" s="113"/>
      <c r="I40" s="113"/>
      <c r="J40" s="112"/>
      <c r="K40" s="2"/>
      <c r="L40" s="113"/>
      <c r="M40" s="113"/>
    </row>
    <row r="41" spans="1:13" ht="15.75" x14ac:dyDescent="0.2">
      <c r="A41" s="21" t="s">
        <v>44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</row>
    <row r="42" spans="1:13" x14ac:dyDescent="0.2">
      <c r="A42" s="114" t="s">
        <v>37</v>
      </c>
      <c r="B42" s="114"/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</row>
  </sheetData>
  <mergeCells count="4">
    <mergeCell ref="A1:M1"/>
    <mergeCell ref="H4:M4"/>
    <mergeCell ref="A3:A4"/>
    <mergeCell ref="B4:G4"/>
  </mergeCells>
  <phoneticPr fontId="19" type="noConversion"/>
  <pageMargins left="0.70866141732283472" right="0.70866141732283472" top="0.74803149606299213" bottom="0.74803149606299213" header="0.31496062992125984" footer="0.31496062992125984"/>
  <pageSetup paperSize="9" scale="2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3191D-8B7B-48AE-B3E6-10FDF2751CD6}">
  <sheetPr>
    <pageSetUpPr fitToPage="1"/>
  </sheetPr>
  <dimension ref="A1:K49"/>
  <sheetViews>
    <sheetView zoomScaleNormal="100" workbookViewId="0">
      <selection sqref="A1:C1"/>
    </sheetView>
  </sheetViews>
  <sheetFormatPr baseColWidth="10" defaultColWidth="11.5703125" defaultRowHeight="12.75" x14ac:dyDescent="0.2"/>
  <cols>
    <col min="1" max="1" width="80.7109375" style="14" customWidth="1"/>
    <col min="2" max="3" width="20.7109375" style="14" customWidth="1"/>
    <col min="4" max="5" width="10.7109375" style="14" customWidth="1"/>
    <col min="6" max="16384" width="11.5703125" style="14"/>
  </cols>
  <sheetData>
    <row r="1" spans="1:11" x14ac:dyDescent="0.2">
      <c r="A1" s="144" t="s">
        <v>40</v>
      </c>
      <c r="B1" s="144"/>
      <c r="C1" s="144"/>
      <c r="D1" s="27"/>
      <c r="E1" s="17"/>
      <c r="F1" s="17"/>
      <c r="G1" s="17"/>
      <c r="H1" s="17"/>
      <c r="I1" s="17"/>
      <c r="J1" s="17"/>
      <c r="K1" s="17"/>
    </row>
    <row r="2" spans="1:11" x14ac:dyDescent="0.2">
      <c r="A2" s="15"/>
      <c r="B2" s="15"/>
      <c r="D2" s="27"/>
      <c r="E2" s="28"/>
      <c r="F2" s="28"/>
      <c r="G2" s="28"/>
      <c r="H2" s="28"/>
      <c r="I2" s="28"/>
      <c r="J2" s="28"/>
      <c r="K2" s="28"/>
    </row>
    <row r="3" spans="1:11" ht="14.25" x14ac:dyDescent="0.25">
      <c r="A3" s="44" t="s">
        <v>33</v>
      </c>
      <c r="B3" s="99" t="s">
        <v>41</v>
      </c>
      <c r="C3" s="95" t="s">
        <v>111</v>
      </c>
      <c r="D3" s="18"/>
      <c r="E3" s="28"/>
      <c r="F3" s="28"/>
      <c r="G3" s="28"/>
      <c r="H3" s="28"/>
      <c r="I3" s="28"/>
      <c r="J3" s="28"/>
      <c r="K3" s="28"/>
    </row>
    <row r="4" spans="1:11" x14ac:dyDescent="0.2">
      <c r="A4" s="37" t="s">
        <v>76</v>
      </c>
      <c r="B4" s="34"/>
      <c r="C4" s="96"/>
    </row>
    <row r="5" spans="1:11" x14ac:dyDescent="0.2">
      <c r="A5" s="16" t="s">
        <v>105</v>
      </c>
      <c r="B5" s="19">
        <v>87</v>
      </c>
      <c r="C5" s="97">
        <v>15</v>
      </c>
    </row>
    <row r="6" spans="1:11" x14ac:dyDescent="0.2">
      <c r="A6" s="16" t="s">
        <v>103</v>
      </c>
      <c r="B6" s="19">
        <v>45</v>
      </c>
      <c r="C6" s="97">
        <v>7.8</v>
      </c>
    </row>
    <row r="7" spans="1:11" x14ac:dyDescent="0.2">
      <c r="A7" s="16" t="s">
        <v>104</v>
      </c>
      <c r="B7" s="19">
        <v>126</v>
      </c>
      <c r="C7" s="97">
        <v>21.7</v>
      </c>
    </row>
    <row r="8" spans="1:11" x14ac:dyDescent="0.2">
      <c r="A8" s="16" t="s">
        <v>106</v>
      </c>
      <c r="B8" s="19">
        <v>85</v>
      </c>
      <c r="C8" s="97">
        <v>14.6</v>
      </c>
    </row>
    <row r="9" spans="1:11" x14ac:dyDescent="0.2">
      <c r="A9" s="16" t="s">
        <v>107</v>
      </c>
      <c r="B9" s="19">
        <v>30</v>
      </c>
      <c r="C9" s="97">
        <v>5.0999999999999996</v>
      </c>
    </row>
    <row r="10" spans="1:11" x14ac:dyDescent="0.2">
      <c r="A10" s="16" t="s">
        <v>94</v>
      </c>
      <c r="B10" s="19">
        <v>9</v>
      </c>
      <c r="C10" s="97">
        <v>1.5</v>
      </c>
    </row>
    <row r="11" spans="1:11" x14ac:dyDescent="0.2">
      <c r="A11" s="16" t="s">
        <v>108</v>
      </c>
      <c r="B11" s="19">
        <v>12</v>
      </c>
      <c r="C11" s="97">
        <v>2.1</v>
      </c>
    </row>
    <row r="12" spans="1:11" x14ac:dyDescent="0.2">
      <c r="A12" s="16" t="s">
        <v>109</v>
      </c>
      <c r="B12" s="19">
        <v>59</v>
      </c>
      <c r="C12" s="97">
        <v>10.1</v>
      </c>
    </row>
    <row r="13" spans="1:11" x14ac:dyDescent="0.2">
      <c r="A13" s="16" t="s">
        <v>110</v>
      </c>
      <c r="B13" s="19">
        <v>29</v>
      </c>
      <c r="C13" s="97">
        <v>5</v>
      </c>
    </row>
    <row r="14" spans="1:11" x14ac:dyDescent="0.2">
      <c r="A14" s="16" t="s">
        <v>42</v>
      </c>
      <c r="B14" s="19">
        <v>100</v>
      </c>
      <c r="C14" s="97">
        <v>17.2</v>
      </c>
    </row>
    <row r="15" spans="1:11" x14ac:dyDescent="0.2">
      <c r="A15" s="38" t="s">
        <v>77</v>
      </c>
      <c r="B15" s="19"/>
      <c r="C15" s="97"/>
    </row>
    <row r="16" spans="1:11" x14ac:dyDescent="0.2">
      <c r="A16" s="16" t="s">
        <v>105</v>
      </c>
      <c r="B16" s="19">
        <v>35</v>
      </c>
      <c r="C16" s="97">
        <v>6.1</v>
      </c>
    </row>
    <row r="17" spans="1:3" x14ac:dyDescent="0.2">
      <c r="A17" s="16" t="s">
        <v>103</v>
      </c>
      <c r="B17" s="19">
        <v>0</v>
      </c>
      <c r="C17" s="97">
        <v>0</v>
      </c>
    </row>
    <row r="18" spans="1:3" x14ac:dyDescent="0.2">
      <c r="A18" s="16" t="s">
        <v>104</v>
      </c>
      <c r="B18" s="19">
        <v>201</v>
      </c>
      <c r="C18" s="97">
        <v>34.4</v>
      </c>
    </row>
    <row r="19" spans="1:3" x14ac:dyDescent="0.2">
      <c r="A19" s="16" t="s">
        <v>106</v>
      </c>
      <c r="B19" s="19">
        <v>19</v>
      </c>
      <c r="C19" s="97">
        <v>3.2</v>
      </c>
    </row>
    <row r="20" spans="1:3" x14ac:dyDescent="0.2">
      <c r="A20" s="16" t="s">
        <v>107</v>
      </c>
      <c r="B20" s="19">
        <v>10</v>
      </c>
      <c r="C20" s="97">
        <v>1.7</v>
      </c>
    </row>
    <row r="21" spans="1:3" x14ac:dyDescent="0.2">
      <c r="A21" s="16" t="s">
        <v>94</v>
      </c>
      <c r="B21" s="19">
        <v>66</v>
      </c>
      <c r="C21" s="97">
        <v>11.3</v>
      </c>
    </row>
    <row r="22" spans="1:3" x14ac:dyDescent="0.2">
      <c r="A22" s="16" t="s">
        <v>108</v>
      </c>
      <c r="B22" s="19">
        <v>1</v>
      </c>
      <c r="C22" s="97">
        <v>0.2</v>
      </c>
    </row>
    <row r="23" spans="1:3" x14ac:dyDescent="0.2">
      <c r="A23" s="16" t="s">
        <v>109</v>
      </c>
      <c r="B23" s="19">
        <v>26</v>
      </c>
      <c r="C23" s="97">
        <v>4.5</v>
      </c>
    </row>
    <row r="24" spans="1:3" x14ac:dyDescent="0.2">
      <c r="A24" s="16" t="s">
        <v>110</v>
      </c>
      <c r="B24" s="19">
        <v>125</v>
      </c>
      <c r="C24" s="97">
        <v>21.5</v>
      </c>
    </row>
    <row r="25" spans="1:3" x14ac:dyDescent="0.2">
      <c r="A25" s="16" t="s">
        <v>42</v>
      </c>
      <c r="B25" s="19">
        <v>100</v>
      </c>
      <c r="C25" s="97">
        <v>17.2</v>
      </c>
    </row>
    <row r="26" spans="1:3" x14ac:dyDescent="0.2">
      <c r="A26" s="38" t="s">
        <v>24</v>
      </c>
      <c r="B26" s="19"/>
      <c r="C26" s="97"/>
    </row>
    <row r="27" spans="1:3" x14ac:dyDescent="0.2">
      <c r="A27" s="16" t="s">
        <v>16</v>
      </c>
      <c r="B27" s="19">
        <v>285</v>
      </c>
      <c r="C27" s="97">
        <v>48.9</v>
      </c>
    </row>
    <row r="28" spans="1:3" x14ac:dyDescent="0.2">
      <c r="A28" s="16" t="s">
        <v>15</v>
      </c>
      <c r="B28" s="19">
        <v>15</v>
      </c>
      <c r="C28" s="97">
        <v>2.6</v>
      </c>
    </row>
    <row r="29" spans="1:3" x14ac:dyDescent="0.2">
      <c r="A29" s="16" t="s">
        <v>17</v>
      </c>
      <c r="B29" s="19">
        <v>60</v>
      </c>
      <c r="C29" s="97">
        <v>10.3</v>
      </c>
    </row>
    <row r="30" spans="1:3" x14ac:dyDescent="0.2">
      <c r="A30" s="16" t="s">
        <v>14</v>
      </c>
      <c r="B30" s="19">
        <v>61</v>
      </c>
      <c r="C30" s="97">
        <v>10.6</v>
      </c>
    </row>
    <row r="31" spans="1:3" x14ac:dyDescent="0.2">
      <c r="A31" s="16" t="s">
        <v>12</v>
      </c>
      <c r="B31" s="19">
        <v>16</v>
      </c>
      <c r="C31" s="97">
        <v>2.7</v>
      </c>
    </row>
    <row r="32" spans="1:3" x14ac:dyDescent="0.2">
      <c r="A32" s="16" t="s">
        <v>13</v>
      </c>
      <c r="B32" s="19">
        <v>20</v>
      </c>
      <c r="C32" s="97">
        <v>3.5</v>
      </c>
    </row>
    <row r="33" spans="1:3" x14ac:dyDescent="0.2">
      <c r="A33" s="16" t="s">
        <v>35</v>
      </c>
      <c r="B33" s="19">
        <v>125</v>
      </c>
      <c r="C33" s="97">
        <v>21.4</v>
      </c>
    </row>
    <row r="34" spans="1:3" x14ac:dyDescent="0.2">
      <c r="A34" s="38" t="s">
        <v>65</v>
      </c>
      <c r="B34" s="35"/>
      <c r="C34" s="97"/>
    </row>
    <row r="35" spans="1:3" x14ac:dyDescent="0.2">
      <c r="A35" s="16" t="s">
        <v>26</v>
      </c>
      <c r="B35" s="19">
        <v>142</v>
      </c>
      <c r="C35" s="97">
        <v>24.3</v>
      </c>
    </row>
    <row r="36" spans="1:3" x14ac:dyDescent="0.2">
      <c r="A36" s="16" t="s">
        <v>28</v>
      </c>
      <c r="B36" s="19">
        <v>135</v>
      </c>
      <c r="C36" s="97">
        <v>23.2</v>
      </c>
    </row>
    <row r="37" spans="1:3" x14ac:dyDescent="0.2">
      <c r="A37" s="16" t="s">
        <v>27</v>
      </c>
      <c r="B37" s="19">
        <v>121</v>
      </c>
      <c r="C37" s="97">
        <v>20.7</v>
      </c>
    </row>
    <row r="38" spans="1:3" x14ac:dyDescent="0.2">
      <c r="A38" s="16" t="s">
        <v>34</v>
      </c>
      <c r="B38" s="19">
        <v>75</v>
      </c>
      <c r="C38" s="97">
        <v>12.8</v>
      </c>
    </row>
    <row r="39" spans="1:3" x14ac:dyDescent="0.2">
      <c r="A39" s="16" t="s">
        <v>29</v>
      </c>
      <c r="B39" s="19">
        <v>57</v>
      </c>
      <c r="C39" s="97">
        <v>9.8000000000000007</v>
      </c>
    </row>
    <row r="40" spans="1:3" x14ac:dyDescent="0.2">
      <c r="A40" s="16" t="s">
        <v>30</v>
      </c>
      <c r="B40" s="19">
        <v>54</v>
      </c>
      <c r="C40" s="97">
        <v>9.3000000000000007</v>
      </c>
    </row>
    <row r="41" spans="1:3" x14ac:dyDescent="0.2">
      <c r="A41" s="39" t="s">
        <v>25</v>
      </c>
      <c r="B41" s="19"/>
      <c r="C41" s="97"/>
    </row>
    <row r="42" spans="1:3" x14ac:dyDescent="0.2">
      <c r="A42" s="16" t="s">
        <v>31</v>
      </c>
      <c r="B42" s="19">
        <v>182</v>
      </c>
      <c r="C42" s="97">
        <v>31.2</v>
      </c>
    </row>
    <row r="43" spans="1:3" x14ac:dyDescent="0.2">
      <c r="A43" s="16" t="s">
        <v>32</v>
      </c>
      <c r="B43" s="19">
        <v>185</v>
      </c>
      <c r="C43" s="97">
        <v>31.8</v>
      </c>
    </row>
    <row r="44" spans="1:3" x14ac:dyDescent="0.2">
      <c r="A44" s="16" t="s">
        <v>78</v>
      </c>
      <c r="B44" s="19">
        <v>116</v>
      </c>
      <c r="C44" s="97">
        <v>19.899999999999999</v>
      </c>
    </row>
    <row r="45" spans="1:3" x14ac:dyDescent="0.2">
      <c r="A45" s="16" t="s">
        <v>1</v>
      </c>
      <c r="B45" s="19">
        <v>100</v>
      </c>
      <c r="C45" s="97">
        <v>17.2</v>
      </c>
    </row>
    <row r="46" spans="1:3" x14ac:dyDescent="0.2">
      <c r="A46" s="40" t="s">
        <v>23</v>
      </c>
      <c r="B46" s="36">
        <v>583</v>
      </c>
      <c r="C46" s="98">
        <v>100</v>
      </c>
    </row>
    <row r="47" spans="1:3" x14ac:dyDescent="0.2">
      <c r="A47" s="145" t="s">
        <v>47</v>
      </c>
      <c r="B47" s="145"/>
      <c r="C47" s="145"/>
    </row>
    <row r="48" spans="1:3" ht="15.75" x14ac:dyDescent="0.2">
      <c r="A48" s="116" t="s">
        <v>44</v>
      </c>
      <c r="B48" s="116"/>
      <c r="C48" s="116"/>
    </row>
    <row r="49" spans="1:3" x14ac:dyDescent="0.2">
      <c r="A49" s="133" t="s">
        <v>37</v>
      </c>
      <c r="B49" s="133"/>
      <c r="C49" s="133"/>
    </row>
  </sheetData>
  <mergeCells count="4">
    <mergeCell ref="A1:C1"/>
    <mergeCell ref="A47:C47"/>
    <mergeCell ref="A48:C48"/>
    <mergeCell ref="A49:C49"/>
  </mergeCells>
  <pageMargins left="0.70866141732283472" right="0.70866141732283472" top="0.74803149606299213" bottom="0.74803149606299213" header="0.31496062992125984" footer="0.31496062992125984"/>
  <pageSetup paperSize="9" scale="7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Sommaire</vt:lpstr>
      <vt:lpstr>Figure 1</vt:lpstr>
      <vt:lpstr>Figure 2</vt:lpstr>
      <vt:lpstr>Figure 3</vt:lpstr>
      <vt:lpstr>Figure 4</vt:lpstr>
      <vt:lpstr>Tableau complémentaire 1</vt:lpstr>
      <vt:lpstr>Tableau complémentaire 2</vt:lpstr>
      <vt:lpstr>Tableau complémentaire 3</vt:lpstr>
    </vt:vector>
  </TitlesOfParts>
  <Company>MTECT-MTE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BAUDE Manuel</dc:creator>
  <cp:lastModifiedBy>Evrard Anne</cp:lastModifiedBy>
  <cp:lastPrinted>2024-09-30T13:17:29Z</cp:lastPrinted>
  <dcterms:created xsi:type="dcterms:W3CDTF">2024-09-18T11:45:44Z</dcterms:created>
  <dcterms:modified xsi:type="dcterms:W3CDTF">2025-10-14T14:07:24Z</dcterms:modified>
</cp:coreProperties>
</file>
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S92sfer1\h240\1_Publications courtes\Insee Première\IP Comptes carbone 2025 (JPR)\Compoweb\"/>
    </mc:Choice>
  </mc:AlternateContent>
  <xr:revisionPtr revIDLastSave="0" documentId="8_{0E42FB4F-7C27-49F5-BDEA-E8B6519965D8}" xr6:coauthVersionLast="47" xr6:coauthVersionMax="47" xr10:uidLastSave="{00000000-0000-0000-0000-000000000000}"/>
  <bookViews>
    <workbookView xWindow="-108" yWindow="-108" windowWidth="23256" windowHeight="12456" tabRatio="849" activeTab="3" xr2:uid="{5E779762-11BA-4845-ADFB-EDAA572160BB}"/>
  </bookViews>
  <sheets>
    <sheet name="Sommaire" sheetId="63" r:id="rId1"/>
    <sheet name="Figure 1" sheetId="33" r:id="rId2"/>
    <sheet name="Figure 2" sheetId="59" r:id="rId3"/>
    <sheet name="Figure 3" sheetId="43" r:id="rId4"/>
    <sheet name="Figure 4" sheetId="28" r:id="rId5"/>
    <sheet name="Tableau complémentaire 1" sheetId="60" r:id="rId6"/>
    <sheet name="Tableau complémentaire 2" sheetId="61" r:id="rId7"/>
    <sheet name="Tableau complémentaire 3" sheetId="62" r:id="rId8"/>
  </sheets>
  <externalReferences>
    <externalReference r:id="rId9"/>
    <externalReference r:id="rId10"/>
  </externalReferences>
  <definedNames>
    <definedName name="_Order1" hidden="1">255</definedName>
    <definedName name="_Order2" hidden="1">255</definedName>
    <definedName name="AC_1995_0201">#REF!</definedName>
    <definedName name="Analyse_croisée">#REF!</definedName>
    <definedName name="_xlnm.Database">#REF!</definedName>
    <definedName name="CO2_menages_FR19" localSheetId="4">#REF!</definedName>
    <definedName name="CO2_menages_FR19" localSheetId="7">#REF!</definedName>
    <definedName name="CO2_menages_FR19">#REF!</definedName>
    <definedName name="Comp_Act1">#REF!</definedName>
    <definedName name="Comp_Emi1">#REF!</definedName>
    <definedName name="Comparaison_activites">#REF!</definedName>
    <definedName name="Comparaison_emissions">#REF!</definedName>
    <definedName name="COMPTE_D_EXPLOITATION_PAR_BRANCHE" localSheetId="4">#REF!</definedName>
    <definedName name="COMPTE_D_EXPLOITATION_PAR_BRANCHE" localSheetId="7">#REF!</definedName>
    <definedName name="COMPTE_D_EXPLOITATION_PAR_BRANCHE">#REF!</definedName>
    <definedName name="correspondance_SNAP_NAMEA">#REF!</definedName>
    <definedName name="CRF_CountryName">[1]Sheet1!$C$4</definedName>
    <definedName name="CRF_InventoryYear">[1]Sheet1!$C$6</definedName>
    <definedName name="CRF_Submission">[1]Sheet1!$C$30</definedName>
    <definedName name="essai">#REF!</definedName>
    <definedName name="Evolution_Activites">#REF!</definedName>
    <definedName name="Evolution_Emissions">#REF!</definedName>
    <definedName name="Exp">#REF!</definedName>
    <definedName name="Export_060502">#REF!</definedName>
    <definedName name="Export_060503">#REF!</definedName>
    <definedName name="Export_Analyse_croisée">#REF!</definedName>
    <definedName name="GLOBAL_As">#REF!</definedName>
    <definedName name="GLOBAL_Cd">#REF!</definedName>
    <definedName name="GLOBAL_CH4">#REF!</definedName>
    <definedName name="GLOBAL_CH4_UTCF">#REF!</definedName>
    <definedName name="GLOBAL_CO">#REF!</definedName>
    <definedName name="GLOBAL_CO_UTCF">#REF!</definedName>
    <definedName name="GLOBAL_CO2">#REF!</definedName>
    <definedName name="GLOBAL_CO2_bio">#REF!</definedName>
    <definedName name="GLOBAL_CO2_UTCF">#REF!</definedName>
    <definedName name="GLOBAL_COVNM">#REF!</definedName>
    <definedName name="GLOBAL_COVNM_UTCF">#REF!</definedName>
    <definedName name="GLOBAL_Cr">#REF!</definedName>
    <definedName name="GLOBAL_Cu">#REF!</definedName>
    <definedName name="GLOBAL_HFC">#REF!</definedName>
    <definedName name="GLOBAL_Hg">#REF!</definedName>
    <definedName name="GLOBAL_N2O">#REF!</definedName>
    <definedName name="GLOBAL_N2O_UTCF">#REF!</definedName>
    <definedName name="GLOBAL_NH3">#REF!</definedName>
    <definedName name="GLOBAL_NH3_UTCF">#REF!</definedName>
    <definedName name="GLOBAL_Ni">#REF!</definedName>
    <definedName name="GLOBAL_NOx">#REF!</definedName>
    <definedName name="GLOBAL_NOx_UTCF">#REF!</definedName>
    <definedName name="GLOBAL_Pb">#REF!</definedName>
    <definedName name="GLOBAL_PFC">#REF!</definedName>
    <definedName name="GLOBAL_PM1_0">#REF!</definedName>
    <definedName name="GLOBAL_PM10">#REF!</definedName>
    <definedName name="GLOBAL_PM10_UTCF">#REF!</definedName>
    <definedName name="GLOBAL_PM2_5">#REF!</definedName>
    <definedName name="GLOBAL_PM2_5_UTCF">#REF!</definedName>
    <definedName name="GLOBAL_Se">#REF!</definedName>
    <definedName name="GLOBAL_SF6">#REF!</definedName>
    <definedName name="GLOBAL_SO2">#REF!</definedName>
    <definedName name="GLOBAL_SO2_UTCF">#REF!</definedName>
    <definedName name="GLOBAL_TSP">#REF!</definedName>
    <definedName name="GLOBAL_TSP_UTCF">#REF!</definedName>
    <definedName name="GLOBAL_Zn">#REF!</definedName>
    <definedName name="Informations_disparues">#REF!</definedName>
    <definedName name="Informations_nouvelles">#REF!</definedName>
    <definedName name="Périmètre">[2]générique!#REF!</definedName>
    <definedName name="RATIOS_NAMEA">#REF!</definedName>
    <definedName name="REFERENCES">#REF!</definedName>
    <definedName name="Résultats_activite">#REF!</definedName>
    <definedName name="Résultats_emissions">#REF!</definedName>
    <definedName name="SNAP_010101">#REF!</definedName>
    <definedName name="SNAP_010102">#REF!</definedName>
    <definedName name="SNAP_010103">#REF!</definedName>
    <definedName name="SNAP_010104">#REF!</definedName>
    <definedName name="SNAP_010105">#REF!</definedName>
    <definedName name="SNAP_010106">#REF!</definedName>
    <definedName name="SNAP_010201">#REF!</definedName>
    <definedName name="SNAP_010202">#REF!</definedName>
    <definedName name="SNAP_010203">#REF!</definedName>
    <definedName name="SNAP_010301">#REF!</definedName>
    <definedName name="SNAP_010302">#REF!</definedName>
    <definedName name="SNAP_010304">#REF!</definedName>
    <definedName name="SNAP_010305">#REF!</definedName>
    <definedName name="SNAP_010306">#REF!</definedName>
    <definedName name="SNAP_010403">#REF!</definedName>
    <definedName name="SNAP_010406">#REF!</definedName>
    <definedName name="SNAP_010407">#REF!</definedName>
    <definedName name="SNAP_010501">#REF!</definedName>
    <definedName name="SNAP_010505">#REF!</definedName>
    <definedName name="SNAP_010506">#REF!</definedName>
    <definedName name="SNAP_020101">#REF!</definedName>
    <definedName name="SNAP_020102">#REF!</definedName>
    <definedName name="SNAP_020103">#REF!</definedName>
    <definedName name="SNAP_020202">#REF!</definedName>
    <definedName name="SNAP_020302">#REF!</definedName>
    <definedName name="SNAP_030101">#REF!</definedName>
    <definedName name="SNAP_030102">#REF!</definedName>
    <definedName name="SNAP_030103">#REF!</definedName>
    <definedName name="SNAP_030203">#REF!</definedName>
    <definedName name="SNAP_030204">#REF!</definedName>
    <definedName name="SNAP_030205">#REF!</definedName>
    <definedName name="SNAP_030301">#REF!</definedName>
    <definedName name="SNAP_030302">#REF!</definedName>
    <definedName name="SNAP_030303">#REF!</definedName>
    <definedName name="SNAP_030304">#REF!</definedName>
    <definedName name="SNAP_030305">#REF!</definedName>
    <definedName name="SNAP_030306">#REF!</definedName>
    <definedName name="SNAP_030307">#REF!</definedName>
    <definedName name="SNAP_030308">#REF!</definedName>
    <definedName name="SNAP_030309">#REF!</definedName>
    <definedName name="SNAP_030310">#REF!</definedName>
    <definedName name="SNAP_030311">#REF!</definedName>
    <definedName name="SNAP_030312">#REF!</definedName>
    <definedName name="SNAP_030313">#REF!</definedName>
    <definedName name="SNAP_030314">#REF!</definedName>
    <definedName name="SNAP_030315">#REF!</definedName>
    <definedName name="SNAP_030316">#REF!</definedName>
    <definedName name="SNAP_030317">#REF!</definedName>
    <definedName name="SNAP_030318">#REF!</definedName>
    <definedName name="SNAP_030319">#REF!</definedName>
    <definedName name="SNAP_030320">#REF!</definedName>
    <definedName name="SNAP_030323">#REF!</definedName>
    <definedName name="SNAP_030325">#REF!</definedName>
    <definedName name="SNAP_030326">#REF!</definedName>
    <definedName name="SNAP_040401">#REF!</definedName>
    <definedName name="SNAP_040404">#REF!</definedName>
    <definedName name="SNAP_040619">#REF!</definedName>
    <definedName name="SNAP_040631">#REF!</definedName>
    <definedName name="SNAP_050201">#REF!</definedName>
    <definedName name="SNAP_060108">#REF!</definedName>
    <definedName name="SNAP_060201">#REF!</definedName>
    <definedName name="SNAP_060301">#REF!</definedName>
    <definedName name="SNAP_060302">#REF!</definedName>
    <definedName name="SNAP_060303">#REF!</definedName>
    <definedName name="SNAP_060304">#REF!</definedName>
    <definedName name="SNAP_060403">#REF!</definedName>
    <definedName name="SNAP_060405">#REF!</definedName>
    <definedName name="SNAP_060406">#REF!</definedName>
    <definedName name="SNAP_060502">#REF!</definedName>
    <definedName name="SNAP_060503">#REF!</definedName>
    <definedName name="SNAP_060504">#REF!</definedName>
    <definedName name="SNAP_060505">#REF!</definedName>
    <definedName name="SNAP_060506">#REF!</definedName>
    <definedName name="SNAP_060507">#REF!</definedName>
    <definedName name="SNAP_060508">#REF!</definedName>
    <definedName name="SNAP_060601">#REF!</definedName>
    <definedName name="SNAP_060604">#REF!</definedName>
    <definedName name="SNAP_070101">#REF!</definedName>
    <definedName name="SNAP_070102">#REF!</definedName>
    <definedName name="SNAP_070103">#REF!</definedName>
    <definedName name="SNAP_070201">#REF!</definedName>
    <definedName name="SNAP_070202">#REF!</definedName>
    <definedName name="SNAP_070203">#REF!</definedName>
    <definedName name="SNAP_070301">#REF!</definedName>
    <definedName name="SNAP_070302">#REF!</definedName>
    <definedName name="SNAP_070303">#REF!</definedName>
    <definedName name="SNAP_070400">#REF!</definedName>
    <definedName name="SNAP_070501">#REF!</definedName>
    <definedName name="SNAP_070502">#REF!</definedName>
    <definedName name="SNAP_070503">#REF!</definedName>
    <definedName name="SNAP_070600">#REF!</definedName>
    <definedName name="SNAP_070700">#REF!</definedName>
    <definedName name="SNAP_070800">#REF!</definedName>
    <definedName name="SNAP_080304">#REF!</definedName>
    <definedName name="SNAP_080801">#REF!</definedName>
    <definedName name="SNAP_080802">#REF!</definedName>
    <definedName name="SNAP_090202">#REF!</definedName>
    <definedName name="SNAP_091001">#REF!</definedName>
    <definedName name="SNAP_091002">#REF!</definedName>
    <definedName name="Suivi">#REF!</definedName>
    <definedName name="TON">#REF!</definedName>
    <definedName name="VAL">#REF!</definedName>
    <definedName name="zea">#REF!</definedName>
    <definedName name="_xlnm.Print_Area" localSheetId="1">'Figure 1'!$A$1:$D$17</definedName>
    <definedName name="_xlnm.Print_Area" localSheetId="2">'Figure 2'!$A$1:$H$20</definedName>
    <definedName name="_xlnm.Print_Area" localSheetId="3">'Figure 3'!$A$1:$M$30</definedName>
    <definedName name="_xlnm.Print_Area" localSheetId="4">'Figure 4'!$A$1:$L$23</definedName>
    <definedName name="_xlnm.Print_Area" localSheetId="7">'Tableau complémentaire 3'!$A$1:$C$49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63" l="1"/>
  <c r="A18" i="63"/>
  <c r="A16" i="63"/>
  <c r="A11" i="63"/>
  <c r="A9" i="63"/>
  <c r="A7" i="63"/>
  <c r="A5" i="63"/>
</calcChain>
</file>

<file path=xl/sharedStrings.xml><?xml version="1.0" encoding="utf-8"?>
<sst xmlns="http://schemas.openxmlformats.org/spreadsheetml/2006/main" count="230" uniqueCount="166">
  <si>
    <t>Émissions importées destinées à la demande finale</t>
  </si>
  <si>
    <t>Émissions directes des ménages</t>
  </si>
  <si>
    <t>Émissions de la production intérieure totale</t>
  </si>
  <si>
    <t>en %</t>
  </si>
  <si>
    <r>
      <t>en Mt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eq</t>
    </r>
  </si>
  <si>
    <t>Émissions intérieures</t>
  </si>
  <si>
    <t>Émissions importées</t>
  </si>
  <si>
    <t>Empreinte totale</t>
  </si>
  <si>
    <t>2019</t>
  </si>
  <si>
    <t>2020</t>
  </si>
  <si>
    <t>2021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</si>
  <si>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</si>
  <si>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</si>
  <si>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</si>
  <si>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</si>
  <si>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</si>
  <si>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</si>
  <si>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</si>
  <si>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</si>
  <si>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</si>
  <si>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Intensité en GES du PIB</t>
  </si>
  <si>
    <t>en gramme de CO2 eq par euros (prix chainés base 2014)</t>
  </si>
  <si>
    <t>PIB</t>
  </si>
  <si>
    <t>Importations</t>
  </si>
  <si>
    <t>Exportations</t>
  </si>
  <si>
    <t>2022</t>
  </si>
  <si>
    <t>Contenu unitaire brut des importations</t>
  </si>
  <si>
    <t>Contenu unitaire net des importations</t>
  </si>
  <si>
    <t>Contenu unitaire brut des exportations</t>
  </si>
  <si>
    <t>Contenu unitaire net des exportations</t>
  </si>
  <si>
    <t xml:space="preserve">Contenu unitaire de la demande finale hors export </t>
  </si>
  <si>
    <t>Intensité en GES de la production</t>
  </si>
  <si>
    <t>2023</t>
  </si>
  <si>
    <t>Contenu unitaire de l'empreinte carbone (demande finale et ménages)</t>
  </si>
  <si>
    <t xml:space="preserve">Quantité de GES par euro pour différents aggrégats économqiues </t>
  </si>
  <si>
    <t>Intensité en GES (hors émissions directes des ménages) du PIB</t>
  </si>
  <si>
    <t>Demande finale intérieure</t>
  </si>
  <si>
    <r>
      <t>en gramme de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éq par euros constant base 2020</t>
    </r>
  </si>
  <si>
    <t>Notes : Les émissions de la France correspondent aux émissions des résidents Français (inventaire au format AEA) ; les flux internationaux de gaz à effet de serre (GES) représentent les émissions associées aux exportations et importations françaises ; les émissions associées aux exportations peuvent être « brutes » (y compris les importations réexportées) ou « nettes » (hors importations réexportées) ; l'empreinte carbone est une estimation des émissions de GES associées à la demande finale française hors exportations.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</si>
  <si>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</si>
  <si>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</si>
  <si>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</si>
  <si>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</si>
  <si>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</si>
  <si>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</si>
  <si>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</si>
  <si>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</si>
  <si>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</si>
  <si>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</si>
  <si>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</si>
  <si>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</si>
  <si>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</si>
  <si>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</si>
  <si>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</si>
  <si>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</si>
  <si>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</si>
  <si>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</si>
  <si>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</si>
  <si>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</si>
  <si>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Émissions de GES hors émissions directes des ménages</t>
  </si>
  <si>
    <t>Empreinte GES hors émissions directes des ménages</t>
  </si>
  <si>
    <t>Type d'émissions</t>
  </si>
  <si>
    <t>2024</t>
  </si>
  <si>
    <t>Ensemble des branches d’activité</t>
  </si>
  <si>
    <r>
      <t>Champ : France ; GES (CO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CH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+ N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 + gaz fluorés).</t>
    </r>
  </si>
  <si>
    <r>
      <t>Champ : France ; GES (CO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CH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+ N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 + gaz fluorés) ; données économiques en euros constants base 2020.</t>
    </r>
  </si>
  <si>
    <t>Émissions des activités économiques</t>
  </si>
  <si>
    <t>Empreinte carbone</t>
  </si>
  <si>
    <t>///</t>
  </si>
  <si>
    <t>Émissions de la production intérieure destinées à la demande finale</t>
  </si>
  <si>
    <t>Émissions de la production intérieure exportées</t>
  </si>
  <si>
    <t>Émissions importées réexportées</t>
  </si>
  <si>
    <t>Contenu en gaz à effet de serre total des importations</t>
  </si>
  <si>
    <t>Ensemble empreinte carbone</t>
  </si>
  <si>
    <t>Produit intérieur brut</t>
  </si>
  <si>
    <t>Émissions françaises</t>
  </si>
  <si>
    <t>Ensemble émissions françaises</t>
  </si>
  <si>
    <t>2025</t>
  </si>
  <si>
    <t>Figure 1 – Émissions et empreinte carbone de la France en 2025</t>
  </si>
  <si>
    <t>Sources : Insee, Eurostat, Citepa, Douanes, OCDE ; traitements Insee-SDES 2026.</t>
  </si>
  <si>
    <t>Sources : Insee, Citepa ; traitements Insee-SDES 2026.</t>
  </si>
  <si>
    <t>Figure 3 – L’empreinte carbone et ses composantes de 1990 à 2025</t>
  </si>
  <si>
    <t>Branche d'activité</t>
  </si>
  <si>
    <t>A - Agriculture, sylviculture et pêche</t>
  </si>
  <si>
    <t>B - Industries extractives</t>
  </si>
  <si>
    <t>CA - Fabrication de denrées alimentaires, de boissons et de produits à base de tabac</t>
  </si>
  <si>
    <t>CD - Cokéfaction et raffinage</t>
  </si>
  <si>
    <t>CE et CF - Industrie chimique et pharmaceutique</t>
  </si>
  <si>
    <t>CG - Fabrication de produits en caoutchouc et en plastique ainsi que d'autres produits minéraux non métalliques</t>
  </si>
  <si>
    <t>CH - Métallurgie et fabrication de produits métalliques à l'exception des machines et des équipements</t>
  </si>
  <si>
    <t>Cx - Autres industries manufacturières</t>
  </si>
  <si>
    <t>D - Production et distribution d'électricité, de gaz, de vapeur et d'air conditionné</t>
  </si>
  <si>
    <t>E - Production et distribution d'eau ; assainissement, gestion des déchets et dépollution</t>
  </si>
  <si>
    <t>F - Construction</t>
  </si>
  <si>
    <t>G - Commerce ; réparation d'automobiles et de motocycles</t>
  </si>
  <si>
    <t>H - Transports et entreposage</t>
  </si>
  <si>
    <t>I à U - Activités de services</t>
  </si>
  <si>
    <t>Tableau complémentaire 2 – Émissions et empreinte GES de la France depuis 1990</t>
  </si>
  <si>
    <t>Émissions totales de GES</t>
  </si>
  <si>
    <t>Empreinte GES totale</t>
  </si>
  <si>
    <r>
      <t>en milliers de tonnes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eq</t>
    </r>
  </si>
  <si>
    <r>
      <t>en tonnes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eq par habitant</t>
    </r>
  </si>
  <si>
    <r>
      <t>Champ : France métropolitaine ; GES (CO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CH</t>
    </r>
    <r>
      <rPr>
        <vertAlign val="subscript"/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 xml:space="preserve"> + N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O + gaz fluorés).</t>
    </r>
  </si>
  <si>
    <t>Décomposition de l'empreinte carbone</t>
  </si>
  <si>
    <t>Par branches d'activités émettrices de gaz à effet de serre (GES), dans le Monde</t>
  </si>
  <si>
    <t>A - Agriculture</t>
  </si>
  <si>
    <t>B - Activités extractives</t>
  </si>
  <si>
    <t xml:space="preserve">C - Industrie </t>
  </si>
  <si>
    <t>D - Production et distribution d'électricité, chaleur, gaz</t>
  </si>
  <si>
    <t>E - Eau, assainissement, déchets</t>
  </si>
  <si>
    <t>G - Commerce</t>
  </si>
  <si>
    <t>H - Services de transport</t>
  </si>
  <si>
    <t>I à U - Services marchands et non marchands</t>
  </si>
  <si>
    <t>GES émis directement par les ménages (transport et logement)</t>
  </si>
  <si>
    <t>Par biens et services finaux dans lesquels sont contenus les gaz à effet de serre (GES)</t>
  </si>
  <si>
    <t>Origine des gaz à effet de serre</t>
  </si>
  <si>
    <t>France</t>
  </si>
  <si>
    <t>Allemagne</t>
  </si>
  <si>
    <t>Union européenne à 27, hors France et Allemagne</t>
  </si>
  <si>
    <t>Chine</t>
  </si>
  <si>
    <t>Russie</t>
  </si>
  <si>
    <t>États-Unis</t>
  </si>
  <si>
    <t>Autres pays d'origine des émissions</t>
  </si>
  <si>
    <t>Grands postes de demande</t>
  </si>
  <si>
    <t>Déplacements</t>
  </si>
  <si>
    <t>Alimentation</t>
  </si>
  <si>
    <t>Habitat</t>
  </si>
  <si>
    <t>Services principalement publics</t>
  </si>
  <si>
    <t>Biens d'équipements</t>
  </si>
  <si>
    <t>Services principalement marchands</t>
  </si>
  <si>
    <t>Composantes de l'empreinte carbone</t>
  </si>
  <si>
    <t>GES associés aux importations de la production intérieure</t>
  </si>
  <si>
    <t>GES issus de la production intérieure, hors exportations</t>
  </si>
  <si>
    <t>GES associées aux importations pour usage final</t>
  </si>
  <si>
    <t>Ensemble de l'empreinte carbone</t>
  </si>
  <si>
    <t>Tableau complémentaire 3 – L'empreinte carbone de la France et ses décompositions en 2025</t>
  </si>
  <si>
    <t>Tableau complémentaire 1 – Émissions de GES des activités économiques résidentes françaises par branche d'activité en 2025</t>
  </si>
  <si>
    <r>
      <t>(en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éq)</t>
    </r>
  </si>
  <si>
    <t>Lecture : En 2025, les émissions de gaz à effet de serre des activités économiques (hors émissions directes des ménages) de la France diminuent de 1,8 %, alors que le produit intérieur brut augmente de 0,8 % en euros constants.</t>
  </si>
  <si>
    <r>
      <t xml:space="preserve">Lecture : En 2025, la branche d'activité de la construction </t>
    </r>
    <r>
      <rPr>
        <sz val="10"/>
        <rFont val="Arial"/>
        <family val="2"/>
      </rPr>
      <t xml:space="preserve">émet </t>
    </r>
    <r>
      <rPr>
        <sz val="10"/>
        <color rgb="FF000000"/>
        <rFont val="Arial"/>
        <family val="2"/>
      </rPr>
      <t>9 millions de tonnes équivalent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de gaz à effet de serre (GES).</t>
    </r>
  </si>
  <si>
    <t>Lecture : En 2025, 48,2 % des gaz à effet de serre (GES) composant l'empreinte carbone de la France sont émis en France.</t>
  </si>
  <si>
    <r>
      <t>Lecture : En 2025, l'empreinte carbone de la demande finale est de 571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éq. Elle se décompose en 296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d'émissions importées, 175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d'émissions intérieures et 100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d'émissions directes des ménages.</t>
    </r>
  </si>
  <si>
    <t>Année</t>
  </si>
  <si>
    <t>2020/2019</t>
  </si>
  <si>
    <t>2021/2020</t>
  </si>
  <si>
    <t>2022/2021</t>
  </si>
  <si>
    <t>2023/2022</t>
  </si>
  <si>
    <t>2024/2023</t>
  </si>
  <si>
    <t>2025/2024</t>
  </si>
  <si>
    <t>Figure 2 – Évolution des émissions des activités économiques et du produit intérieur brut en France</t>
  </si>
  <si>
    <r>
      <t>Lecture : En 2025, les émissions françaises de GES sont de 398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éq. Elles se décomposent en 298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d'émissions de la production intérieure et 100 Mt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éq d'émissions directes des ménages.</t>
    </r>
  </si>
  <si>
    <t>Évolution 2025/2024</t>
  </si>
  <si>
    <t>(en %)</t>
  </si>
  <si>
    <t>Données des figures de la publication</t>
  </si>
  <si>
    <r>
      <t>Données de l’Insee Première n</t>
    </r>
    <r>
      <rPr>
        <b/>
        <vertAlign val="superscript"/>
        <sz val="12"/>
        <rFont val="Arial"/>
        <family val="2"/>
      </rPr>
      <t>o</t>
    </r>
    <r>
      <rPr>
        <b/>
        <sz val="12"/>
        <rFont val="Arial"/>
        <family val="2"/>
      </rPr>
      <t xml:space="preserve"> 2130 « Émissions de gaz à effet de serre et empreinte carbone de la France en 2025 – Après deux années de baisse, l’empreinte diminue à peine »
</t>
    </r>
  </si>
  <si>
    <t>Données complémentaires</t>
  </si>
  <si>
    <t>Note : Les émissions de la France correspondent aux émissions des résidents Français (inventaire au format AEA).</t>
  </si>
  <si>
    <t>Note : Chaque colonne représente la quantité de gaz à effet de serre (GES) pour un euro de différents agrégats économiques.</t>
  </si>
  <si>
    <r>
      <t>en Mt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éq</t>
    </r>
  </si>
  <si>
    <r>
      <t>(en Mt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éq)</t>
    </r>
  </si>
  <si>
    <t>Émissions 2025</t>
  </si>
  <si>
    <t>Figure 4 – Contenu en GES par euro des activités économiques intérieures, des importations, de la demande finale intérieure et des exportations</t>
  </si>
  <si>
    <r>
      <t>Lecture : En 2025, les activités économiques intérieures (PIB) émettent 113 grammes de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par euro (euros constants base 2020).</t>
    </r>
  </si>
  <si>
    <t>Sources : Citepa ; traitements Insee-SDES 2026.</t>
  </si>
  <si>
    <r>
      <t>Lecture : En 2025, 397 914 milliers de tonnes équivalent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de gaz à effet de serre (GES) sont émis par les unités économiques résidant en France, soit 5,8 tonnes équivalent CO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par habitant.</t>
    </r>
  </si>
  <si>
    <t>Notes : Les données de 1990 à 2009 sont rétropolées à partir du calcul de l'année 2010, les données de l'année 2025 sont provisoires.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</si>
</sst>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##\ ###\ ###\ ##0"/>
    <numFmt numFmtId="165" formatCode="0.0"/>
    <numFmt numFmtId="166" formatCode="0.000"/>
    <numFmt numFmtId="167" formatCode="0.00000"/>
    <numFmt numFmtId="168" formatCode="#,##0.0"/>
    <numFmt numFmtId="169" formatCode="0.0%"/>
  </numFmts>
  <fonts count="34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i/>
      <sz val="10"/>
      <color rgb="FF000000"/>
      <name val="Arial"/>
      <family val="2"/>
    </font>
    <font>
      <sz val="10"/>
      <name val="Arial"/>
      <family val="2"/>
    </font>
    <font>
      <vertAlign val="subscript"/>
      <sz val="10"/>
      <color rgb="FF000000"/>
      <name val="Arial"/>
      <family val="2"/>
    </font>
    <font>
      <b/>
      <sz val="10"/>
      <name val="Arial"/>
      <family val="2"/>
    </font>
    <font>
      <i/>
      <sz val="11"/>
      <color rgb="FF0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vertAlign val="subscript"/>
      <sz val="10"/>
      <name val="Arial"/>
      <family val="2"/>
    </font>
    <font>
      <sz val="10"/>
      <color rgb="FF7030A0"/>
      <name val="Arial"/>
      <family val="2"/>
    </font>
    <font>
      <sz val="10"/>
      <name val="Arial"/>
      <family val="2"/>
      <charset val="1"/>
    </font>
    <font>
      <sz val="10"/>
      <name val="MS Sans Serif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name val="Arial"/>
      <family val="2"/>
    </font>
    <font>
      <sz val="10"/>
      <color rgb="FF00B050"/>
      <name val="Arial"/>
      <family val="2"/>
    </font>
    <font>
      <sz val="10"/>
      <color rgb="FF000000"/>
      <name val="Arial Unicode MS"/>
    </font>
    <font>
      <i/>
      <sz val="10"/>
      <name val="Arial"/>
      <family val="2"/>
    </font>
    <font>
      <sz val="10"/>
      <color theme="4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0">
    <xf numFmtId="0" fontId="0" fillId="0" borderId="0"/>
    <xf numFmtId="0" fontId="5" fillId="0" borderId="0"/>
    <xf numFmtId="0" fontId="12" fillId="0" borderId="0"/>
    <xf numFmtId="43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2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</cellStyleXfs>
  <cellXfs count="219">
    <xf numFmtId="0" fontId="0" fillId="0" borderId="0" xfId="0"/>
    <xf numFmtId="0" fontId="8" fillId="0" borderId="0" xfId="0" applyFont="1"/>
    <xf numFmtId="0" fontId="9" fillId="0" borderId="0" xfId="0" applyFont="1"/>
    <xf numFmtId="0" fontId="12" fillId="0" borderId="0" xfId="0" applyFont="1"/>
    <xf numFmtId="0" fontId="0" fillId="0" borderId="0" xfId="0" applyFill="1"/>
    <xf numFmtId="165" fontId="9" fillId="0" borderId="0" xfId="0" applyNumberFormat="1" applyFont="1"/>
    <xf numFmtId="0" fontId="9" fillId="0" borderId="0" xfId="0" applyFont="1" applyFill="1"/>
    <xf numFmtId="165" fontId="9" fillId="0" borderId="0" xfId="0" applyNumberFormat="1" applyFont="1" applyFill="1"/>
    <xf numFmtId="0" fontId="6" fillId="0" borderId="0" xfId="0" applyFont="1" applyFill="1"/>
    <xf numFmtId="0" fontId="9" fillId="0" borderId="0" xfId="0" applyFont="1" applyBorder="1"/>
    <xf numFmtId="3" fontId="12" fillId="0" borderId="0" xfId="0" applyNumberFormat="1" applyFont="1" applyBorder="1"/>
    <xf numFmtId="165" fontId="12" fillId="0" borderId="0" xfId="0" applyNumberFormat="1" applyFont="1" applyBorder="1"/>
    <xf numFmtId="0" fontId="8" fillId="0" borderId="0" xfId="0" applyFont="1" applyAlignment="1">
      <alignment vertical="center"/>
    </xf>
    <xf numFmtId="1" fontId="9" fillId="0" borderId="0" xfId="0" applyNumberFormat="1" applyFont="1" applyBorder="1"/>
    <xf numFmtId="0" fontId="15" fillId="0" borderId="0" xfId="0" applyFont="1"/>
    <xf numFmtId="0" fontId="14" fillId="0" borderId="0" xfId="0" applyFont="1" applyAlignment="1">
      <alignment vertical="center"/>
    </xf>
    <xf numFmtId="4" fontId="10" fillId="0" borderId="0" xfId="0" applyNumberFormat="1" applyFont="1"/>
    <xf numFmtId="0" fontId="9" fillId="0" borderId="0" xfId="0" applyFont="1" applyFill="1" applyAlignment="1">
      <alignment horizontal="right"/>
    </xf>
    <xf numFmtId="2" fontId="9" fillId="0" borderId="0" xfId="0" applyNumberFormat="1" applyFont="1"/>
    <xf numFmtId="166" fontId="9" fillId="0" borderId="0" xfId="0" applyNumberFormat="1" applyFont="1"/>
    <xf numFmtId="0" fontId="9" fillId="0" borderId="0" xfId="0" applyFont="1" applyFill="1" applyBorder="1" applyAlignment="1">
      <alignment horizontal="center"/>
    </xf>
    <xf numFmtId="9" fontId="9" fillId="0" borderId="0" xfId="5" applyFont="1" applyBorder="1"/>
    <xf numFmtId="165" fontId="9" fillId="0" borderId="0" xfId="0" applyNumberFormat="1" applyFont="1" applyBorder="1"/>
    <xf numFmtId="0" fontId="9" fillId="0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Border="1"/>
    <xf numFmtId="49" fontId="9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/>
    <xf numFmtId="0" fontId="9" fillId="0" borderId="0" xfId="0" applyFont="1" applyFill="1" applyBorder="1"/>
    <xf numFmtId="0" fontId="11" fillId="0" borderId="0" xfId="0" applyFont="1" applyAlignment="1"/>
    <xf numFmtId="0" fontId="9" fillId="0" borderId="0" xfId="0" applyFont="1" applyAlignment="1">
      <alignment horizontal="right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/>
    <xf numFmtId="0" fontId="10" fillId="0" borderId="0" xfId="0" applyFont="1" applyFill="1"/>
    <xf numFmtId="165" fontId="10" fillId="0" borderId="0" xfId="0" applyNumberFormat="1" applyFont="1" applyFill="1"/>
    <xf numFmtId="0" fontId="10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1" fillId="0" borderId="0" xfId="0" applyFont="1" applyFill="1" applyAlignment="1"/>
    <xf numFmtId="167" fontId="9" fillId="0" borderId="0" xfId="0" applyNumberFormat="1" applyFont="1"/>
    <xf numFmtId="0" fontId="18" fillId="0" borderId="0" xfId="0" applyFont="1"/>
    <xf numFmtId="4" fontId="10" fillId="0" borderId="0" xfId="0" applyNumberFormat="1" applyFont="1" applyFill="1"/>
    <xf numFmtId="0" fontId="16" fillId="0" borderId="0" xfId="0" applyFont="1" applyFill="1"/>
    <xf numFmtId="0" fontId="15" fillId="0" borderId="0" xfId="0" applyFont="1" applyFill="1"/>
    <xf numFmtId="0" fontId="11" fillId="0" borderId="0" xfId="0" applyFont="1" applyFill="1"/>
    <xf numFmtId="0" fontId="14" fillId="2" borderId="0" xfId="0" applyFont="1" applyFill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2" fontId="10" fillId="0" borderId="0" xfId="0" applyNumberFormat="1" applyFont="1"/>
    <xf numFmtId="0" fontId="8" fillId="0" borderId="0" xfId="0" applyFont="1" applyFill="1"/>
    <xf numFmtId="0" fontId="12" fillId="0" borderId="2" xfId="0" applyFont="1" applyBorder="1" applyAlignment="1">
      <alignment horizontal="right"/>
    </xf>
    <xf numFmtId="0" fontId="12" fillId="0" borderId="2" xfId="0" applyFont="1" applyBorder="1" applyAlignment="1">
      <alignment horizontal="left"/>
    </xf>
    <xf numFmtId="1" fontId="12" fillId="0" borderId="2" xfId="0" applyNumberFormat="1" applyFont="1" applyBorder="1"/>
    <xf numFmtId="0" fontId="12" fillId="0" borderId="3" xfId="0" applyFont="1" applyBorder="1" applyAlignment="1">
      <alignment horizontal="right"/>
    </xf>
    <xf numFmtId="0" fontId="12" fillId="0" borderId="0" xfId="0" applyFont="1" applyFill="1"/>
    <xf numFmtId="165" fontId="12" fillId="0" borderId="0" xfId="0" applyNumberFormat="1" applyFont="1" applyFill="1"/>
    <xf numFmtId="0" fontId="12" fillId="0" borderId="1" xfId="0" applyFont="1" applyBorder="1" applyAlignment="1">
      <alignment horizontal="right"/>
    </xf>
    <xf numFmtId="0" fontId="14" fillId="0" borderId="1" xfId="0" applyFont="1" applyBorder="1"/>
    <xf numFmtId="0" fontId="12" fillId="0" borderId="3" xfId="0" applyFont="1" applyBorder="1" applyAlignment="1">
      <alignment horizontal="left"/>
    </xf>
    <xf numFmtId="1" fontId="12" fillId="0" borderId="3" xfId="0" applyNumberFormat="1" applyFont="1" applyBorder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65" fontId="14" fillId="0" borderId="7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/>
    <xf numFmtId="1" fontId="12" fillId="0" borderId="2" xfId="0" applyNumberFormat="1" applyFont="1" applyBorder="1" applyAlignment="1"/>
    <xf numFmtId="0" fontId="14" fillId="0" borderId="3" xfId="0" applyFont="1" applyBorder="1"/>
    <xf numFmtId="1" fontId="14" fillId="0" borderId="3" xfId="0" applyNumberFormat="1" applyFont="1" applyBorder="1"/>
    <xf numFmtId="165" fontId="14" fillId="0" borderId="1" xfId="0" applyNumberFormat="1" applyFont="1" applyFill="1" applyBorder="1"/>
    <xf numFmtId="165" fontId="12" fillId="0" borderId="2" xfId="0" applyNumberFormat="1" applyFont="1" applyFill="1" applyBorder="1"/>
    <xf numFmtId="165" fontId="12" fillId="0" borderId="3" xfId="0" applyNumberFormat="1" applyFont="1" applyFill="1" applyBorder="1"/>
    <xf numFmtId="165" fontId="14" fillId="0" borderId="3" xfId="0" applyNumberFormat="1" applyFont="1" applyFill="1" applyBorder="1"/>
    <xf numFmtId="0" fontId="14" fillId="0" borderId="0" xfId="0" applyFont="1"/>
    <xf numFmtId="0" fontId="9" fillId="0" borderId="11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4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3" fontId="14" fillId="0" borderId="2" xfId="0" applyNumberFormat="1" applyFont="1" applyBorder="1"/>
    <xf numFmtId="3" fontId="14" fillId="0" borderId="3" xfId="0" applyNumberFormat="1" applyFont="1" applyBorder="1"/>
    <xf numFmtId="3" fontId="9" fillId="0" borderId="2" xfId="0" applyNumberFormat="1" applyFont="1" applyBorder="1"/>
    <xf numFmtId="3" fontId="9" fillId="0" borderId="3" xfId="0" applyNumberFormat="1" applyFont="1" applyBorder="1"/>
    <xf numFmtId="165" fontId="14" fillId="0" borderId="2" xfId="0" applyNumberFormat="1" applyFont="1" applyBorder="1"/>
    <xf numFmtId="165" fontId="14" fillId="0" borderId="3" xfId="0" applyNumberFormat="1" applyFont="1" applyBorder="1"/>
    <xf numFmtId="165" fontId="9" fillId="0" borderId="2" xfId="0" applyNumberFormat="1" applyFont="1" applyBorder="1"/>
    <xf numFmtId="165" fontId="9" fillId="0" borderId="3" xfId="0" applyNumberFormat="1" applyFont="1" applyBorder="1"/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24" fillId="0" borderId="0" xfId="17" applyFont="1"/>
    <xf numFmtId="0" fontId="22" fillId="0" borderId="0" xfId="17" applyFont="1"/>
    <xf numFmtId="0" fontId="10" fillId="0" borderId="0" xfId="17" applyFont="1"/>
    <xf numFmtId="0" fontId="24" fillId="0" borderId="10" xfId="17" applyFont="1" applyBorder="1" applyAlignment="1">
      <alignment horizontal="center"/>
    </xf>
    <xf numFmtId="3" fontId="14" fillId="0" borderId="14" xfId="2" applyNumberFormat="1" applyFont="1" applyBorder="1" applyAlignment="1">
      <alignment horizontal="center"/>
    </xf>
    <xf numFmtId="3" fontId="24" fillId="0" borderId="7" xfId="17" applyNumberFormat="1" applyFont="1" applyBorder="1" applyAlignment="1">
      <alignment horizontal="center"/>
    </xf>
    <xf numFmtId="3" fontId="22" fillId="0" borderId="0" xfId="17" applyNumberFormat="1" applyFont="1"/>
    <xf numFmtId="0" fontId="1" fillId="0" borderId="0" xfId="17"/>
    <xf numFmtId="0" fontId="23" fillId="0" borderId="1" xfId="17" applyFont="1" applyBorder="1"/>
    <xf numFmtId="0" fontId="22" fillId="0" borderId="10" xfId="17" applyFont="1" applyBorder="1"/>
    <xf numFmtId="165" fontId="22" fillId="0" borderId="7" xfId="17" applyNumberFormat="1" applyFont="1" applyBorder="1"/>
    <xf numFmtId="0" fontId="22" fillId="0" borderId="2" xfId="17" applyFont="1" applyBorder="1"/>
    <xf numFmtId="0" fontId="23" fillId="0" borderId="2" xfId="17" applyFont="1" applyBorder="1"/>
    <xf numFmtId="0" fontId="24" fillId="0" borderId="3" xfId="17" applyFont="1" applyBorder="1"/>
    <xf numFmtId="3" fontId="12" fillId="0" borderId="2" xfId="0" applyNumberFormat="1" applyFont="1" applyBorder="1"/>
    <xf numFmtId="3" fontId="12" fillId="0" borderId="3" xfId="0" applyNumberFormat="1" applyFont="1" applyBorder="1"/>
    <xf numFmtId="0" fontId="26" fillId="0" borderId="0" xfId="0" applyFont="1"/>
    <xf numFmtId="0" fontId="26" fillId="0" borderId="0" xfId="0" applyFont="1" applyFill="1"/>
    <xf numFmtId="1" fontId="9" fillId="0" borderId="0" xfId="0" applyNumberFormat="1" applyFont="1"/>
    <xf numFmtId="0" fontId="12" fillId="0" borderId="0" xfId="0" quotePrefix="1" applyFont="1" applyFill="1"/>
    <xf numFmtId="0" fontId="8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165" fontId="9" fillId="0" borderId="0" xfId="0" applyNumberFormat="1" applyFont="1" applyBorder="1" applyAlignment="1">
      <alignment vertical="center"/>
    </xf>
    <xf numFmtId="0" fontId="12" fillId="0" borderId="0" xfId="0" applyFont="1" applyFill="1" applyAlignment="1">
      <alignment horizontal="right"/>
    </xf>
    <xf numFmtId="0" fontId="12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2" fillId="0" borderId="0" xfId="0" applyFont="1" applyFill="1" applyBorder="1"/>
    <xf numFmtId="1" fontId="12" fillId="0" borderId="0" xfId="0" applyNumberFormat="1" applyFont="1" applyFill="1" applyBorder="1"/>
    <xf numFmtId="9" fontId="12" fillId="0" borderId="0" xfId="5" applyFont="1" applyFill="1" applyBorder="1"/>
    <xf numFmtId="0" fontId="9" fillId="0" borderId="0" xfId="5" applyNumberFormat="1" applyFont="1"/>
    <xf numFmtId="0" fontId="9" fillId="0" borderId="0" xfId="0" applyNumberFormat="1" applyFont="1"/>
    <xf numFmtId="0" fontId="18" fillId="0" borderId="0" xfId="0" applyNumberFormat="1" applyFont="1"/>
    <xf numFmtId="0" fontId="27" fillId="0" borderId="0" xfId="0" applyFont="1"/>
    <xf numFmtId="0" fontId="12" fillId="0" borderId="0" xfId="0" applyFont="1" applyFill="1" applyAlignment="1"/>
    <xf numFmtId="0" fontId="28" fillId="0" borderId="0" xfId="0" applyFont="1" applyFill="1" applyAlignment="1"/>
    <xf numFmtId="1" fontId="9" fillId="0" borderId="0" xfId="5" applyNumberFormat="1" applyFont="1"/>
    <xf numFmtId="0" fontId="12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" fontId="8" fillId="0" borderId="15" xfId="0" applyNumberFormat="1" applyFont="1" applyBorder="1"/>
    <xf numFmtId="1" fontId="9" fillId="0" borderId="8" xfId="0" applyNumberFormat="1" applyFont="1" applyBorder="1"/>
    <xf numFmtId="1" fontId="8" fillId="0" borderId="6" xfId="0" applyNumberFormat="1" applyFont="1" applyBorder="1"/>
    <xf numFmtId="1" fontId="9" fillId="0" borderId="14" xfId="0" applyNumberFormat="1" applyFont="1" applyBorder="1"/>
    <xf numFmtId="1" fontId="8" fillId="0" borderId="7" xfId="0" applyNumberFormat="1" applyFont="1" applyBorder="1"/>
    <xf numFmtId="0" fontId="8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" fontId="9" fillId="0" borderId="15" xfId="0" applyNumberFormat="1" applyFont="1" applyBorder="1"/>
    <xf numFmtId="0" fontId="9" fillId="0" borderId="15" xfId="0" applyFont="1" applyBorder="1"/>
    <xf numFmtId="0" fontId="9" fillId="0" borderId="8" xfId="0" applyFont="1" applyBorder="1"/>
    <xf numFmtId="0" fontId="9" fillId="0" borderId="6" xfId="0" applyFont="1" applyBorder="1"/>
    <xf numFmtId="3" fontId="12" fillId="0" borderId="0" xfId="0" applyNumberFormat="1" applyFont="1" applyFill="1"/>
    <xf numFmtId="3" fontId="14" fillId="0" borderId="0" xfId="0" applyNumberFormat="1" applyFont="1" applyBorder="1"/>
    <xf numFmtId="3" fontId="22" fillId="0" borderId="0" xfId="17" applyNumberFormat="1" applyFont="1" applyBorder="1"/>
    <xf numFmtId="0" fontId="14" fillId="0" borderId="11" xfId="0" applyFont="1" applyBorder="1"/>
    <xf numFmtId="168" fontId="14" fillId="0" borderId="15" xfId="0" applyNumberFormat="1" applyFont="1" applyBorder="1" applyAlignment="1">
      <alignment horizontal="right"/>
    </xf>
    <xf numFmtId="168" fontId="22" fillId="0" borderId="15" xfId="17" applyNumberFormat="1" applyFont="1" applyBorder="1" applyAlignment="1">
      <alignment horizontal="right"/>
    </xf>
    <xf numFmtId="3" fontId="22" fillId="0" borderId="8" xfId="17" applyNumberFormat="1" applyFont="1" applyBorder="1"/>
    <xf numFmtId="168" fontId="22" fillId="0" borderId="6" xfId="17" applyNumberFormat="1" applyFont="1" applyBorder="1" applyAlignment="1">
      <alignment horizontal="right"/>
    </xf>
    <xf numFmtId="0" fontId="12" fillId="0" borderId="0" xfId="17" applyFont="1" applyFill="1"/>
    <xf numFmtId="1" fontId="9" fillId="0" borderId="0" xfId="0" applyNumberFormat="1" applyFont="1" applyFill="1"/>
    <xf numFmtId="1" fontId="12" fillId="0" borderId="0" xfId="0" applyNumberFormat="1" applyFont="1" applyFill="1"/>
    <xf numFmtId="1" fontId="12" fillId="0" borderId="0" xfId="0" applyNumberFormat="1" applyFont="1"/>
    <xf numFmtId="49" fontId="14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right"/>
    </xf>
    <xf numFmtId="49" fontId="9" fillId="0" borderId="2" xfId="0" applyNumberFormat="1" applyFont="1" applyBorder="1" applyAlignment="1">
      <alignment horizontal="right"/>
    </xf>
    <xf numFmtId="0" fontId="9" fillId="0" borderId="2" xfId="0" applyFont="1" applyBorder="1"/>
    <xf numFmtId="49" fontId="9" fillId="0" borderId="3" xfId="0" applyNumberFormat="1" applyFont="1" applyBorder="1" applyAlignment="1">
      <alignment horizontal="right"/>
    </xf>
    <xf numFmtId="49" fontId="14" fillId="0" borderId="4" xfId="0" applyNumberFormat="1" applyFont="1" applyBorder="1" applyAlignment="1">
      <alignment horizontal="center" vertical="center"/>
    </xf>
    <xf numFmtId="0" fontId="9" fillId="0" borderId="3" xfId="0" applyFont="1" applyBorder="1"/>
    <xf numFmtId="0" fontId="22" fillId="0" borderId="11" xfId="17" applyFont="1" applyFill="1" applyBorder="1"/>
    <xf numFmtId="165" fontId="22" fillId="0" borderId="15" xfId="17" applyNumberFormat="1" applyFont="1" applyFill="1" applyBorder="1"/>
    <xf numFmtId="0" fontId="24" fillId="0" borderId="5" xfId="17" applyFont="1" applyFill="1" applyBorder="1"/>
    <xf numFmtId="165" fontId="24" fillId="0" borderId="6" xfId="17" applyNumberFormat="1" applyFont="1" applyFill="1" applyBorder="1"/>
    <xf numFmtId="3" fontId="9" fillId="0" borderId="0" xfId="0" applyNumberFormat="1" applyFont="1"/>
    <xf numFmtId="169" fontId="9" fillId="0" borderId="0" xfId="5" applyNumberFormat="1" applyFont="1"/>
    <xf numFmtId="0" fontId="12" fillId="0" borderId="0" xfId="0" applyFont="1" applyFill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0" xfId="0" applyFont="1" applyFill="1" applyAlignment="1">
      <alignment horizontal="left" vertical="top" wrapText="1"/>
    </xf>
    <xf numFmtId="0" fontId="14" fillId="0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165" fontId="12" fillId="0" borderId="0" xfId="0" applyNumberFormat="1" applyFont="1" applyFill="1" applyBorder="1"/>
    <xf numFmtId="164" fontId="12" fillId="0" borderId="0" xfId="0" applyNumberFormat="1" applyFont="1" applyFill="1" applyBorder="1"/>
    <xf numFmtId="3" fontId="12" fillId="0" borderId="0" xfId="0" applyNumberFormat="1" applyFont="1" applyFill="1" applyBorder="1"/>
    <xf numFmtId="0" fontId="26" fillId="0" borderId="0" xfId="0" applyFont="1" applyFill="1" applyBorder="1"/>
    <xf numFmtId="165" fontId="26" fillId="0" borderId="0" xfId="0" applyNumberFormat="1" applyFont="1" applyFill="1" applyBorder="1"/>
    <xf numFmtId="165" fontId="9" fillId="0" borderId="0" xfId="0" applyNumberFormat="1" applyFont="1" applyFill="1" applyBorder="1"/>
    <xf numFmtId="1" fontId="12" fillId="0" borderId="0" xfId="0" applyNumberFormat="1" applyFont="1" applyFill="1" applyBorder="1" applyAlignment="1">
      <alignment horizontal="right"/>
    </xf>
    <xf numFmtId="165" fontId="10" fillId="0" borderId="0" xfId="0" applyNumberFormat="1" applyFont="1" applyFill="1" applyBorder="1"/>
    <xf numFmtId="1" fontId="26" fillId="0" borderId="0" xfId="0" applyNumberFormat="1" applyFont="1" applyFill="1" applyBorder="1"/>
    <xf numFmtId="0" fontId="23" fillId="0" borderId="1" xfId="0" applyFont="1" applyBorder="1"/>
    <xf numFmtId="0" fontId="23" fillId="0" borderId="2" xfId="0" applyFont="1" applyBorder="1"/>
    <xf numFmtId="1" fontId="23" fillId="0" borderId="1" xfId="0" applyNumberFormat="1" applyFont="1" applyBorder="1" applyAlignment="1"/>
    <xf numFmtId="0" fontId="29" fillId="0" borderId="1" xfId="0" applyFont="1" applyBorder="1" applyAlignment="1">
      <alignment horizontal="right"/>
    </xf>
    <xf numFmtId="165" fontId="23" fillId="0" borderId="1" xfId="0" applyNumberFormat="1" applyFont="1" applyFill="1" applyBorder="1"/>
    <xf numFmtId="1" fontId="23" fillId="0" borderId="2" xfId="0" applyNumberFormat="1" applyFont="1" applyBorder="1"/>
    <xf numFmtId="0" fontId="29" fillId="0" borderId="2" xfId="0" applyFont="1" applyBorder="1" applyAlignment="1">
      <alignment horizontal="right"/>
    </xf>
    <xf numFmtId="165" fontId="23" fillId="0" borderId="2" xfId="0" applyNumberFormat="1" applyFont="1" applyFill="1" applyBorder="1"/>
    <xf numFmtId="165" fontId="23" fillId="0" borderId="2" xfId="0" applyNumberFormat="1" applyFont="1" applyFill="1" applyBorder="1" applyAlignment="1">
      <alignment horizontal="right" vertical="center"/>
    </xf>
    <xf numFmtId="0" fontId="32" fillId="0" borderId="0" xfId="2" applyFont="1" applyAlignment="1">
      <alignment wrapText="1"/>
    </xf>
    <xf numFmtId="0" fontId="12" fillId="0" borderId="0" xfId="2" applyFont="1"/>
    <xf numFmtId="0" fontId="31" fillId="0" borderId="0" xfId="19" applyFont="1" applyAlignment="1" applyProtection="1"/>
    <xf numFmtId="0" fontId="31" fillId="0" borderId="0" xfId="19" applyFont="1"/>
    <xf numFmtId="0" fontId="31" fillId="0" borderId="0" xfId="19" applyFont="1" applyAlignment="1" applyProtection="1">
      <alignment vertical="center"/>
    </xf>
    <xf numFmtId="0" fontId="32" fillId="0" borderId="0" xfId="2" applyFont="1" applyAlignment="1"/>
    <xf numFmtId="0" fontId="31" fillId="0" borderId="0" xfId="18" applyFont="1"/>
    <xf numFmtId="0" fontId="31" fillId="0" borderId="0" xfId="18" applyFont="1" applyAlignment="1" applyProtection="1">
      <alignment vertical="center"/>
    </xf>
    <xf numFmtId="1" fontId="9" fillId="0" borderId="0" xfId="0" applyNumberFormat="1" applyFont="1" applyFill="1" applyBorder="1"/>
    <xf numFmtId="0" fontId="8" fillId="0" borderId="1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4" fillId="0" borderId="0" xfId="2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4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vertical="center" wrapText="1"/>
    </xf>
    <xf numFmtId="0" fontId="12" fillId="0" borderId="14" xfId="0" applyFont="1" applyBorder="1" applyAlignment="1">
      <alignment wrapText="1"/>
    </xf>
    <xf numFmtId="0" fontId="12" fillId="0" borderId="0" xfId="0" applyFont="1" applyFill="1" applyAlignment="1">
      <alignment horizontal="left" vertical="top" wrapText="1"/>
    </xf>
    <xf numFmtId="0" fontId="12" fillId="0" borderId="0" xfId="0" applyFont="1" applyAlignment="1">
      <alignment wrapText="1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</cellXfs>
  <cellStyles count="20">
    <cellStyle name="Lien hypertexte" xfId="18" builtinId="8"/>
    <cellStyle name="Lien hypertexte 2" xfId="19" xr:uid="{1F0E0707-03D2-47D1-9998-F30FC308736E}"/>
    <cellStyle name="Milliers 2" xfId="3" xr:uid="{13FF25DD-8814-4AAD-A948-BC6E89190C73}"/>
    <cellStyle name="Milliers 2 2" xfId="7" xr:uid="{8C51896B-0C59-4B15-9010-37CAC487CA37}"/>
    <cellStyle name="Milliers 2 3" xfId="11" xr:uid="{93030202-D6E3-4B6E-8786-A926EC1798D4}"/>
    <cellStyle name="Milliers 3" xfId="15" xr:uid="{6B480784-06AB-4863-9369-1BBBF825C279}"/>
    <cellStyle name="Normal" xfId="0" builtinId="0"/>
    <cellStyle name="Normal 2" xfId="1" xr:uid="{AD27AB75-50A7-4515-93B1-5A9E65E056FC}"/>
    <cellStyle name="Normal 2 2" xfId="2" xr:uid="{F6F3D9AD-3ACC-403F-A584-6ADD11796B7A}"/>
    <cellStyle name="Normal 2 3" xfId="6" xr:uid="{0B7E0651-0483-4AF9-AB3D-BDD2E86F1FE0}"/>
    <cellStyle name="Normal 2 4" xfId="10" xr:uid="{C238F1C5-1946-4D68-AF0F-6B22D0F991F2}"/>
    <cellStyle name="Normal 2 5" xfId="17" xr:uid="{BBABA607-5AAE-4F7E-A942-070D1B976379}"/>
    <cellStyle name="Normal 3" xfId="8" xr:uid="{8921F71C-F81C-4D26-A01C-E5732C6F135A}"/>
    <cellStyle name="Normal 4" xfId="14" xr:uid="{EA832A70-E1D7-4A3A-870B-6C4FF225C4F0}"/>
    <cellStyle name="Pourcentage" xfId="5" builtinId="5"/>
    <cellStyle name="Pourcentage 2" xfId="4" xr:uid="{63384C1C-0CB4-42E2-8F82-4E17EDF4CC15}"/>
    <cellStyle name="Pourcentage 2 2" xfId="12" xr:uid="{CD365CA9-B101-4FED-8A2D-3C1D9AE0EDAC}"/>
    <cellStyle name="Pourcentage 3" xfId="9" xr:uid="{E37750FC-180F-4A56-B073-DAF2B71EF5EB}"/>
    <cellStyle name="Pourcentage 4" xfId="13" xr:uid="{35D99D3A-B643-4DDC-95E9-470A8E5D33E8}"/>
    <cellStyle name="Pourcentage 5" xfId="16" xr:uid="{1905E202-2C6E-4FFF-8C16-FA5C7D5CAAD3}"/>
  </cellStyles>
  <dxfs count="0"/>
  <tableStyles count="0" defaultTableStyle="TableStyleMedium2" defaultPivotStyle="PivotStyleLight16"/>
  <colors>
    <mruColors>
      <color rgb="FFFA5A5A"/>
      <color rgb="FF174694"/>
      <color rgb="FF268DFF"/>
      <color rgb="FFC4101D"/>
      <color rgb="FF2697FF"/>
      <color rgb="FFBF8101"/>
      <color rgb="FFFFE690"/>
      <color rgb="FF2690FF"/>
      <color rgb="FFFFC300"/>
      <color rgb="FF86C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erveur\INVENTAIRE\windows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itepa\INVENTAIRE\FICHES\En%20cours\En_chantier\06-AGRICULTURE\Eleva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1s1"/>
      <sheetName val="Table1s2"/>
      <sheetName val="Table1.A(a)s1"/>
      <sheetName val="Table1.A(a)s2"/>
      <sheetName val="Table1.A(a)s3"/>
      <sheetName val="Table1.A(a)s4"/>
      <sheetName val="Table1.A(b)"/>
      <sheetName val="Table1.A(c)"/>
      <sheetName val="Table1.A(d)"/>
      <sheetName val="Table1.B.1"/>
      <sheetName val="Table1.B.2"/>
      <sheetName val="Table1.C"/>
      <sheetName val="Table2(I)s1"/>
      <sheetName val="Table2(I)s2"/>
      <sheetName val="Table2(I).A-Gs1"/>
      <sheetName val="Table2(I).A-Gs2"/>
      <sheetName val="Table2(II)s1"/>
      <sheetName val="Table2(II)s2"/>
      <sheetName val="Table2(II).C,E"/>
      <sheetName val="Table2(II).Fs1"/>
      <sheetName val="Table2(II).Fs2"/>
      <sheetName val="Table3"/>
      <sheetName val="Table3.A-D"/>
      <sheetName val="Table4s1"/>
      <sheetName val="Table4s2"/>
      <sheetName val="Table4.A"/>
      <sheetName val="Table4.B(a)"/>
      <sheetName val="Table4.B(b)"/>
      <sheetName val="Table4.C"/>
      <sheetName val="Table4.D"/>
      <sheetName val="Table4.E"/>
      <sheetName val="Table4.F"/>
      <sheetName val="Table5"/>
      <sheetName val="Table5.A"/>
      <sheetName val="Table5.B"/>
      <sheetName val="Table5.C"/>
      <sheetName val="Table5.D"/>
      <sheetName val="Table6"/>
      <sheetName val="Table6.A,C"/>
      <sheetName val="Table6.B"/>
      <sheetName val="Summary1.As1"/>
      <sheetName val="Summary1.As2"/>
      <sheetName val="Summary1.As3"/>
      <sheetName val="Summary1.B"/>
      <sheetName val="Summary2"/>
      <sheetName val="Summary3s1"/>
      <sheetName val="Summary3s2"/>
      <sheetName val="Table7s1"/>
      <sheetName val="Table7s2"/>
      <sheetName val="Table7s3"/>
      <sheetName val="Table8(a)s1"/>
      <sheetName val="Table8(a)s2"/>
      <sheetName val="Table8(b)"/>
      <sheetName val="Table9s1"/>
      <sheetName val="Table9s2"/>
      <sheetName val="Table10s1"/>
      <sheetName val="Table10s2"/>
      <sheetName val="Table10s3"/>
      <sheetName val="Table10s4"/>
      <sheetName val="Table10s5"/>
      <sheetName val="Table11"/>
      <sheetName val="générique"/>
      <sheetName val="Emissions"/>
    </sheetNames>
    <sheetDataSet>
      <sheetData sheetId="0">
        <row r="4">
          <cell r="C4" t="str">
            <v>Country</v>
          </cell>
        </row>
        <row r="6">
          <cell r="C6" t="str">
            <v>Year</v>
          </cell>
        </row>
        <row r="30">
          <cell r="C30" t="str">
            <v>Submission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énérique"/>
      <sheetName val="Références"/>
      <sheetName val="Suivi"/>
      <sheetName val="Cheptels"/>
      <sheetName val="FE"/>
      <sheetName val="Emissions"/>
      <sheetName val="Mode_Gestion"/>
      <sheetName val="Fermentation_CH4"/>
      <sheetName val="Déjections_CH4"/>
      <sheetName val="Déjections_N2O"/>
      <sheetName val="Déjections_NH3"/>
      <sheetName val="Export_culture"/>
      <sheetName val="Export_ACTIV"/>
      <sheetName val="cheptels DT"/>
      <sheetName val="DOM-TOM 1 (CH4 et NH3)"/>
      <sheetName val="dom-Export_ACTIV"/>
      <sheetName val="tom-Export_EMIS"/>
      <sheetName val="dom-Export_EMIS"/>
      <sheetName val="Export_EMIS"/>
      <sheetName val="tom-Export_ACTIV"/>
      <sheetName val="DOM-TOM 2 (N2O)"/>
      <sheetName val="DOM-TOM 3 (TSP- PM10-PM2.5)"/>
      <sheetName val="Export CRF-int"/>
      <sheetName val="Export CRF"/>
      <sheetName val="déjection-old"/>
      <sheetName val="Beck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Iris roug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74695"/>
      </a:accent1>
      <a:accent2>
        <a:srgbClr val="248BFF"/>
      </a:accent2>
      <a:accent3>
        <a:srgbClr val="FB5A5A"/>
      </a:accent3>
      <a:accent4>
        <a:srgbClr val="C4101D"/>
      </a:accent4>
      <a:accent5>
        <a:srgbClr val="BF8101"/>
      </a:accent5>
      <a:accent6>
        <a:srgbClr val="949494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37F0-278B-4EE3-8DD9-331450346686}">
  <dimension ref="A1:AF20"/>
  <sheetViews>
    <sheetView workbookViewId="0"/>
  </sheetViews>
  <sheetFormatPr baseColWidth="10" defaultRowHeight="13.2"/>
  <cols>
    <col min="1" max="16384" width="11.5546875" style="188"/>
  </cols>
  <sheetData>
    <row r="1" spans="1:32" ht="15.75" customHeight="1">
      <c r="A1" s="192" t="s">
        <v>154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</row>
    <row r="3" spans="1:32">
      <c r="A3" s="199" t="s">
        <v>153</v>
      </c>
      <c r="B3" s="199"/>
      <c r="C3" s="199"/>
    </row>
    <row r="5" spans="1:32">
      <c r="A5" s="189" t="str">
        <f>'Figure 1'!A1</f>
        <v>Figure 1 – Émissions et empreinte carbone de la France en 2025</v>
      </c>
      <c r="B5" s="189"/>
      <c r="C5" s="189"/>
      <c r="D5" s="190"/>
      <c r="E5" s="190"/>
    </row>
    <row r="7" spans="1:32">
      <c r="A7" s="191" t="str">
        <f>'Figure 2'!A1</f>
        <v>Figure 2 – Évolution des émissions des activités économiques et du produit intérieur brut en France</v>
      </c>
      <c r="B7" s="191"/>
      <c r="C7" s="191"/>
      <c r="D7" s="191"/>
      <c r="E7" s="191"/>
      <c r="F7" s="191"/>
      <c r="G7" s="191"/>
      <c r="H7" s="191"/>
    </row>
    <row r="9" spans="1:32">
      <c r="A9" s="194" t="str">
        <f>'Figure 3'!A1</f>
        <v>Figure 3 – L’empreinte carbone et ses composantes de 1990 à 2025</v>
      </c>
      <c r="B9" s="194"/>
      <c r="C9" s="194"/>
      <c r="D9" s="193"/>
      <c r="E9" s="193"/>
      <c r="F9" s="190"/>
    </row>
    <row r="11" spans="1:32">
      <c r="A11" s="194" t="str">
        <f>'Figure 4'!A1</f>
        <v>Figure 4 – Contenu en GES par euro des activités économiques intérieures, des importations, de la demande finale intérieure et des exportations</v>
      </c>
      <c r="B11" s="194"/>
      <c r="C11" s="194"/>
      <c r="D11" s="194"/>
      <c r="E11" s="194"/>
      <c r="F11" s="193"/>
      <c r="G11" s="193"/>
      <c r="H11" s="193"/>
      <c r="I11" s="193"/>
      <c r="J11" s="193"/>
      <c r="K11" s="193"/>
    </row>
    <row r="13" spans="1:32">
      <c r="A13" s="191"/>
      <c r="B13" s="191"/>
      <c r="C13" s="191"/>
      <c r="D13" s="191"/>
      <c r="E13" s="190"/>
      <c r="F13" s="190"/>
      <c r="G13" s="190"/>
      <c r="H13" s="190"/>
    </row>
    <row r="14" spans="1:32">
      <c r="A14" s="1" t="s">
        <v>155</v>
      </c>
    </row>
    <row r="15" spans="1:32">
      <c r="A15" s="189"/>
      <c r="B15" s="189"/>
      <c r="C15" s="189"/>
      <c r="D15" s="189"/>
      <c r="E15" s="189"/>
      <c r="F15" s="189"/>
      <c r="G15" s="190"/>
      <c r="H15" s="190"/>
      <c r="I15" s="190"/>
    </row>
    <row r="16" spans="1:32">
      <c r="A16" s="193" t="str">
        <f>'Tableau complémentaire 1'!A1</f>
        <v>Tableau complémentaire 1 – Émissions de GES des activités économiques résidentes françaises par branche d'activité en 2025</v>
      </c>
      <c r="B16" s="193"/>
      <c r="C16" s="193"/>
      <c r="D16" s="193"/>
      <c r="E16" s="193"/>
      <c r="F16" s="193"/>
      <c r="G16" s="193"/>
      <c r="H16" s="193"/>
      <c r="I16" s="193"/>
    </row>
    <row r="17" spans="1:7">
      <c r="A17" s="189"/>
      <c r="B17" s="189"/>
      <c r="C17" s="189"/>
      <c r="D17" s="189"/>
      <c r="E17" s="190"/>
      <c r="F17" s="190"/>
      <c r="G17" s="190"/>
    </row>
    <row r="18" spans="1:7">
      <c r="A18" s="193" t="str">
        <f>'Tableau complémentaire 2'!A1</f>
        <v>Tableau complémentaire 2 – Émissions et empreinte GES de la France depuis 1990</v>
      </c>
      <c r="B18" s="193"/>
      <c r="C18" s="193"/>
      <c r="D18" s="193"/>
      <c r="E18" s="193"/>
      <c r="F18" s="193"/>
    </row>
    <row r="20" spans="1:7">
      <c r="A20" s="193" t="str">
        <f>'Tableau complémentaire 3'!A1</f>
        <v>Tableau complémentaire 3 – L'empreinte carbone de la France et ses décompositions en 2025</v>
      </c>
      <c r="B20" s="193"/>
      <c r="C20" s="193"/>
      <c r="D20" s="193"/>
      <c r="E20" s="193"/>
      <c r="F20" s="193"/>
      <c r="G20" s="193"/>
    </row>
  </sheetData>
  <mergeCells count="1">
    <mergeCell ref="A3:C3"/>
  </mergeCells>
  <hyperlinks>
    <hyperlink ref="A5:E5" location="'Figure 1'!A1" display="Figure 1 – Investissements et études antipollution depuis 2006" xr:uid="{36FF1FA0-DF5D-47C1-B340-EDB1CEB8A8EF}"/>
    <hyperlink ref="A7:H7" location="'Figure 2'!A1" display="Figure 2 – Dépenses antipollution de l'industrie par secteur d'activité en 2024" xr:uid="{C5D70F88-6005-4688-BE08-B5931C4CE30F}"/>
    <hyperlink ref="A9:F9" location="'Figure 3a'!A1" display="Figure 3a – Dépenses d'investissements antipollution par domaine" xr:uid="{D217C7A7-69B1-4732-BFB2-3EAEA94E4A02}"/>
    <hyperlink ref="A11:H11" location="'Figure 3b'!A1" display="Figure 3b – Dépenses d'études antipollution en prévision d'un investissement par domaine" xr:uid="{5A16201E-84FE-4120-8AF2-2EF10119433E}"/>
    <hyperlink ref="A16:I16" location="'Tableau complémentaire 1'!A1" display="'Tableau complémentaire 1'!A1" xr:uid="{6E2DB4A1-246D-44E0-9531-ADF106C72FB0}"/>
    <hyperlink ref="A18:F18" location="'Tableau complémentaire 2'!A1" display="'Tableau complémentaire 2'!A1" xr:uid="{9F5FD8D6-7F2E-4463-9149-B4F0BAC85954}"/>
    <hyperlink ref="A20:G20" location="'Tableau complémentaire 3'!A1" display="'Tableau complémentaire 3'!A1" xr:uid="{E798FCF8-7CD9-4BD7-8D46-3CD603CA770A}"/>
    <hyperlink ref="A9:E9" location="'figure 3'!A1" display="'figure 3'!A1" xr:uid="{31D3A4EB-0663-4099-ACC4-C73D724B38C5}"/>
    <hyperlink ref="A11:K11" location="'figure 4'!A1" display="'figure 4'!A1" xr:uid="{1A63ECED-18A5-47E8-A292-47815F7BF999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EC58-6432-4402-865A-55C7C45F2360}">
  <sheetPr>
    <pageSetUpPr fitToPage="1"/>
  </sheetPr>
  <dimension ref="A1:V95"/>
  <sheetViews>
    <sheetView zoomScaleNormal="100" workbookViewId="0"/>
  </sheetViews>
  <sheetFormatPr baseColWidth="10" defaultColWidth="11.44140625" defaultRowHeight="13.2"/>
  <cols>
    <col min="1" max="1" width="58.33203125" style="2" customWidth="1"/>
    <col min="2" max="3" width="20.6640625" style="2" customWidth="1"/>
    <col min="4" max="4" width="20.6640625" style="5" customWidth="1"/>
    <col min="5" max="5" width="22.5546875" style="5" customWidth="1"/>
    <col min="6" max="6" width="20.6640625" style="5" customWidth="1"/>
    <col min="7" max="7" width="20.6640625" style="102" customWidth="1"/>
    <col min="8" max="8" width="11.44140625" style="6" customWidth="1"/>
    <col min="9" max="11" width="11.44140625" style="2" customWidth="1"/>
    <col min="12" max="12" width="11" style="2" customWidth="1"/>
    <col min="13" max="14" width="11.44140625" style="2"/>
    <col min="15" max="19" width="11.5546875" style="100" customWidth="1"/>
    <col min="20" max="16384" width="11.44140625" style="2"/>
  </cols>
  <sheetData>
    <row r="1" spans="1:22">
      <c r="A1" s="1" t="s">
        <v>78</v>
      </c>
      <c r="G1" s="148"/>
      <c r="H1" s="33"/>
      <c r="I1" s="33"/>
      <c r="J1" s="33"/>
      <c r="K1" s="33"/>
      <c r="L1" s="33"/>
      <c r="M1" s="33"/>
      <c r="N1" s="33"/>
      <c r="P1" s="33"/>
      <c r="Q1" s="33"/>
      <c r="R1" s="33"/>
      <c r="S1" s="33"/>
      <c r="T1" s="6"/>
      <c r="U1" s="6"/>
      <c r="V1" s="6"/>
    </row>
    <row r="2" spans="1:22">
      <c r="A2" s="33"/>
      <c r="B2" s="33"/>
      <c r="E2" s="34"/>
      <c r="F2" s="7"/>
      <c r="G2" s="149"/>
      <c r="H2" s="52"/>
      <c r="I2" s="52"/>
      <c r="J2" s="52"/>
      <c r="K2" s="52"/>
      <c r="L2" s="52"/>
      <c r="M2" s="52"/>
      <c r="N2" s="33"/>
      <c r="O2" s="101"/>
      <c r="P2" s="33"/>
      <c r="Q2" s="33"/>
      <c r="R2" s="33"/>
      <c r="S2" s="33"/>
      <c r="T2" s="6"/>
      <c r="U2" s="6"/>
      <c r="V2" s="6"/>
    </row>
    <row r="3" spans="1:22" ht="13.2" customHeight="1">
      <c r="A3" s="200" t="s">
        <v>61</v>
      </c>
      <c r="B3" s="58" t="s">
        <v>75</v>
      </c>
      <c r="C3" s="59" t="s">
        <v>6</v>
      </c>
      <c r="D3" s="60" t="s">
        <v>67</v>
      </c>
      <c r="E3" s="167" t="s">
        <v>151</v>
      </c>
      <c r="F3" s="34"/>
      <c r="G3" s="150"/>
      <c r="H3" s="52"/>
      <c r="I3" s="52"/>
      <c r="J3" s="52"/>
      <c r="K3" s="52"/>
      <c r="L3" s="52"/>
      <c r="M3" s="52"/>
      <c r="N3" s="101"/>
      <c r="O3" s="101"/>
      <c r="P3" s="101"/>
      <c r="Q3" s="101"/>
      <c r="R3" s="101"/>
      <c r="S3" s="101"/>
      <c r="T3" s="6"/>
      <c r="U3" s="6"/>
      <c r="V3" s="6"/>
    </row>
    <row r="4" spans="1:22" ht="15.6">
      <c r="A4" s="201"/>
      <c r="B4" s="202" t="s">
        <v>137</v>
      </c>
      <c r="C4" s="203"/>
      <c r="D4" s="204"/>
      <c r="E4" s="168" t="s">
        <v>152</v>
      </c>
      <c r="G4" s="150"/>
      <c r="H4" s="103"/>
      <c r="I4" s="52"/>
      <c r="J4" s="52"/>
      <c r="K4" s="52"/>
      <c r="L4" s="52"/>
      <c r="M4" s="52"/>
      <c r="N4" s="101"/>
      <c r="P4" s="101"/>
      <c r="Q4" s="101"/>
      <c r="R4" s="101"/>
      <c r="S4" s="101"/>
      <c r="T4" s="6"/>
      <c r="U4" s="6"/>
      <c r="V4" s="6"/>
    </row>
    <row r="5" spans="1:22">
      <c r="A5" s="178" t="s">
        <v>1</v>
      </c>
      <c r="B5" s="180">
        <v>100</v>
      </c>
      <c r="C5" s="181" t="s">
        <v>68</v>
      </c>
      <c r="D5" s="180">
        <v>100</v>
      </c>
      <c r="E5" s="182">
        <v>-1.3</v>
      </c>
      <c r="G5" s="7"/>
      <c r="H5" s="103"/>
      <c r="I5" s="52"/>
      <c r="J5" s="52"/>
      <c r="K5" s="52"/>
      <c r="L5" s="52"/>
      <c r="M5" s="6"/>
      <c r="N5" s="101"/>
      <c r="P5" s="101"/>
      <c r="Q5" s="101"/>
      <c r="R5" s="101"/>
      <c r="S5" s="101"/>
      <c r="T5" s="6"/>
      <c r="U5" s="6"/>
      <c r="V5" s="6"/>
    </row>
    <row r="6" spans="1:22">
      <c r="A6" s="179" t="s">
        <v>2</v>
      </c>
      <c r="B6" s="183">
        <v>298</v>
      </c>
      <c r="C6" s="184" t="s">
        <v>68</v>
      </c>
      <c r="D6" s="184" t="s">
        <v>68</v>
      </c>
      <c r="E6" s="185">
        <v>-1.8</v>
      </c>
      <c r="G6" s="149"/>
      <c r="H6" s="52"/>
      <c r="I6" s="52"/>
      <c r="J6" s="52"/>
      <c r="K6" s="52"/>
      <c r="L6" s="52"/>
      <c r="M6" s="6"/>
      <c r="N6" s="6"/>
      <c r="O6" s="101"/>
      <c r="P6" s="101"/>
      <c r="Q6" s="101"/>
      <c r="R6" s="101"/>
      <c r="S6" s="101"/>
      <c r="T6" s="6"/>
      <c r="U6" s="6"/>
      <c r="V6" s="6"/>
    </row>
    <row r="7" spans="1:22">
      <c r="A7" s="49" t="s">
        <v>70</v>
      </c>
      <c r="B7" s="50">
        <v>123</v>
      </c>
      <c r="C7" s="48" t="s">
        <v>68</v>
      </c>
      <c r="D7" s="48" t="s">
        <v>68</v>
      </c>
      <c r="E7" s="66">
        <v>-3.1</v>
      </c>
      <c r="G7" s="150"/>
      <c r="H7" s="52"/>
      <c r="I7" s="103"/>
      <c r="J7" s="52"/>
      <c r="K7" s="52"/>
      <c r="L7" s="52"/>
      <c r="M7" s="6"/>
      <c r="N7" s="6"/>
      <c r="O7" s="101"/>
      <c r="P7" s="101"/>
      <c r="Q7" s="101"/>
      <c r="R7" s="101"/>
      <c r="S7" s="101"/>
      <c r="T7" s="6"/>
      <c r="U7" s="6"/>
      <c r="V7" s="6"/>
    </row>
    <row r="8" spans="1:22">
      <c r="A8" s="49" t="s">
        <v>69</v>
      </c>
      <c r="B8" s="62">
        <v>175</v>
      </c>
      <c r="C8" s="48" t="s">
        <v>68</v>
      </c>
      <c r="D8" s="62">
        <v>175</v>
      </c>
      <c r="E8" s="66">
        <v>-0.9</v>
      </c>
      <c r="G8" s="150"/>
      <c r="H8" s="52"/>
      <c r="I8" s="103"/>
      <c r="J8" s="52"/>
      <c r="K8" s="52"/>
      <c r="L8" s="52"/>
      <c r="M8" s="6"/>
      <c r="N8" s="6"/>
      <c r="O8" s="101"/>
      <c r="P8" s="101"/>
      <c r="Q8" s="101"/>
      <c r="R8" s="101"/>
      <c r="S8" s="101"/>
      <c r="T8" s="6"/>
      <c r="U8" s="6"/>
      <c r="V8" s="6"/>
    </row>
    <row r="9" spans="1:22">
      <c r="A9" s="179" t="s">
        <v>72</v>
      </c>
      <c r="B9" s="184" t="s">
        <v>68</v>
      </c>
      <c r="C9" s="183">
        <v>455</v>
      </c>
      <c r="D9" s="184" t="s">
        <v>68</v>
      </c>
      <c r="E9" s="186">
        <v>-0.6</v>
      </c>
      <c r="G9" s="150"/>
      <c r="H9" s="52"/>
      <c r="I9" s="103"/>
      <c r="J9" s="52"/>
      <c r="K9" s="52"/>
      <c r="L9" s="52"/>
      <c r="M9" s="6"/>
      <c r="N9" s="6"/>
      <c r="O9" s="101"/>
      <c r="P9" s="101"/>
      <c r="Q9" s="101"/>
      <c r="R9" s="101"/>
      <c r="S9" s="101"/>
      <c r="T9" s="6"/>
      <c r="U9" s="6"/>
      <c r="V9" s="6"/>
    </row>
    <row r="10" spans="1:22">
      <c r="A10" s="49" t="s">
        <v>71</v>
      </c>
      <c r="B10" s="48" t="s">
        <v>68</v>
      </c>
      <c r="C10" s="50">
        <v>159</v>
      </c>
      <c r="D10" s="48" t="s">
        <v>68</v>
      </c>
      <c r="E10" s="66">
        <v>-1.2</v>
      </c>
      <c r="G10" s="150"/>
      <c r="H10" s="52"/>
      <c r="I10" s="103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6"/>
    </row>
    <row r="11" spans="1:22">
      <c r="A11" s="56" t="s">
        <v>0</v>
      </c>
      <c r="B11" s="51" t="s">
        <v>68</v>
      </c>
      <c r="C11" s="51">
        <v>296</v>
      </c>
      <c r="D11" s="57">
        <v>296</v>
      </c>
      <c r="E11" s="67">
        <v>-0.3</v>
      </c>
      <c r="G11" s="150"/>
      <c r="H11" s="52"/>
      <c r="I11" s="103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6"/>
    </row>
    <row r="12" spans="1:22">
      <c r="A12" s="55" t="s">
        <v>76</v>
      </c>
      <c r="B12" s="61">
        <v>398</v>
      </c>
      <c r="C12" s="54" t="s">
        <v>68</v>
      </c>
      <c r="D12" s="54" t="s">
        <v>68</v>
      </c>
      <c r="E12" s="65">
        <v>-1.7</v>
      </c>
      <c r="G12" s="150"/>
      <c r="H12" s="52"/>
      <c r="I12" s="103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6"/>
    </row>
    <row r="13" spans="1:22">
      <c r="A13" s="63" t="s">
        <v>73</v>
      </c>
      <c r="B13" s="51" t="s">
        <v>68</v>
      </c>
      <c r="C13" s="51" t="s">
        <v>68</v>
      </c>
      <c r="D13" s="64">
        <v>571</v>
      </c>
      <c r="E13" s="68">
        <v>-0.6</v>
      </c>
      <c r="G13" s="150"/>
      <c r="H13" s="52"/>
      <c r="I13" s="103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6"/>
    </row>
    <row r="14" spans="1:22" ht="52.95" customHeight="1">
      <c r="A14" s="205" t="s">
        <v>38</v>
      </c>
      <c r="B14" s="205"/>
      <c r="C14" s="205"/>
      <c r="D14" s="205"/>
      <c r="E14" s="205"/>
      <c r="G14" s="150"/>
      <c r="H14" s="52"/>
      <c r="I14" s="103"/>
      <c r="J14" s="52"/>
      <c r="K14" s="52"/>
      <c r="L14" s="52"/>
      <c r="M14" s="6"/>
      <c r="N14" s="6"/>
      <c r="O14" s="101"/>
      <c r="P14" s="101"/>
      <c r="Q14" s="101"/>
      <c r="R14" s="101"/>
      <c r="S14" s="101"/>
      <c r="T14" s="6"/>
      <c r="U14" s="6"/>
      <c r="V14" s="6"/>
    </row>
    <row r="15" spans="1:22" ht="27" customHeight="1">
      <c r="A15" s="206" t="s">
        <v>150</v>
      </c>
      <c r="B15" s="206"/>
      <c r="C15" s="206"/>
      <c r="D15" s="206"/>
      <c r="E15" s="206"/>
      <c r="G15" s="150"/>
      <c r="H15" s="52"/>
      <c r="I15" s="103"/>
      <c r="J15" s="52"/>
      <c r="K15" s="52"/>
      <c r="L15" s="52"/>
      <c r="M15" s="6"/>
      <c r="N15" s="6"/>
      <c r="O15" s="101"/>
      <c r="P15" s="101"/>
      <c r="Q15" s="101"/>
      <c r="R15" s="101"/>
      <c r="S15" s="101"/>
      <c r="T15" s="6"/>
      <c r="U15" s="6"/>
      <c r="V15" s="6"/>
    </row>
    <row r="16" spans="1:22" ht="15.6">
      <c r="A16" s="23" t="s">
        <v>64</v>
      </c>
      <c r="B16" s="23"/>
      <c r="C16" s="35"/>
      <c r="D16" s="35"/>
      <c r="E16" s="7"/>
      <c r="G16" s="150"/>
      <c r="H16" s="52"/>
      <c r="I16" s="103"/>
      <c r="J16" s="52"/>
      <c r="K16" s="52"/>
      <c r="L16" s="52"/>
      <c r="M16" s="6"/>
      <c r="N16" s="6"/>
      <c r="O16" s="101"/>
      <c r="P16" s="101"/>
      <c r="Q16" s="101"/>
      <c r="R16" s="101"/>
      <c r="S16" s="101"/>
      <c r="T16" s="6"/>
      <c r="U16" s="6"/>
      <c r="V16" s="6"/>
    </row>
    <row r="17" spans="1:22">
      <c r="A17" s="36" t="s">
        <v>79</v>
      </c>
      <c r="B17" s="23"/>
      <c r="C17" s="23"/>
      <c r="D17" s="23"/>
      <c r="E17" s="7"/>
      <c r="G17" s="150"/>
      <c r="H17" s="52"/>
      <c r="I17" s="103"/>
      <c r="J17" s="52"/>
      <c r="K17" s="52"/>
      <c r="L17" s="52"/>
      <c r="M17" s="6"/>
      <c r="N17" s="6"/>
      <c r="O17" s="101"/>
      <c r="P17" s="101"/>
      <c r="Q17" s="101"/>
      <c r="R17" s="101"/>
      <c r="S17" s="101"/>
      <c r="T17" s="6"/>
      <c r="U17" s="6"/>
      <c r="V17" s="6"/>
    </row>
    <row r="18" spans="1:22">
      <c r="A18" s="31"/>
      <c r="B18" s="31"/>
      <c r="C18" s="31"/>
      <c r="D18" s="7"/>
      <c r="E18" s="7"/>
      <c r="G18" s="150"/>
      <c r="H18" s="52"/>
      <c r="I18" s="103"/>
      <c r="J18" s="52"/>
      <c r="K18" s="52"/>
      <c r="L18" s="52"/>
      <c r="M18" s="6"/>
      <c r="N18" s="6"/>
      <c r="O18" s="101"/>
      <c r="P18" s="101"/>
      <c r="Q18" s="101"/>
      <c r="R18" s="101"/>
      <c r="S18" s="101"/>
      <c r="T18" s="6"/>
      <c r="U18" s="6"/>
      <c r="V18" s="6"/>
    </row>
    <row r="19" spans="1:22">
      <c r="A19" s="6"/>
      <c r="B19" s="52"/>
      <c r="C19" s="52"/>
      <c r="D19" s="53"/>
      <c r="E19" s="53"/>
      <c r="G19" s="150"/>
      <c r="H19" s="52"/>
      <c r="I19" s="103"/>
      <c r="J19" s="52"/>
      <c r="K19" s="52"/>
      <c r="L19" s="52"/>
      <c r="M19" s="6"/>
      <c r="N19" s="6"/>
      <c r="O19" s="101"/>
      <c r="P19" s="101"/>
      <c r="Q19" s="101"/>
      <c r="R19" s="101"/>
      <c r="S19" s="101"/>
      <c r="T19" s="6"/>
      <c r="U19" s="6"/>
      <c r="V19" s="6"/>
    </row>
    <row r="20" spans="1:22">
      <c r="A20" s="115"/>
      <c r="B20" s="115"/>
      <c r="C20" s="115"/>
      <c r="D20" s="169"/>
      <c r="E20" s="169"/>
      <c r="G20" s="52"/>
      <c r="H20" s="52"/>
      <c r="I20" s="52"/>
      <c r="J20" s="52"/>
      <c r="K20" s="52"/>
      <c r="L20" s="52"/>
      <c r="M20" s="101"/>
      <c r="N20" s="101"/>
      <c r="O20" s="101"/>
      <c r="P20" s="6"/>
      <c r="Q20" s="6"/>
      <c r="R20" s="6"/>
      <c r="S20" s="6"/>
      <c r="T20" s="6"/>
      <c r="U20" s="6"/>
      <c r="V20" s="6"/>
    </row>
    <row r="21" spans="1:22">
      <c r="A21" s="115"/>
      <c r="B21" s="115"/>
      <c r="C21" s="115"/>
      <c r="D21" s="169"/>
      <c r="E21" s="169"/>
      <c r="G21" s="149"/>
      <c r="H21" s="52"/>
      <c r="I21" s="52"/>
      <c r="J21" s="52"/>
      <c r="K21" s="52"/>
      <c r="L21" s="52"/>
      <c r="M21" s="101"/>
      <c r="N21" s="101"/>
      <c r="O21" s="101"/>
      <c r="P21" s="6"/>
      <c r="Q21" s="6"/>
      <c r="R21" s="6"/>
      <c r="S21" s="6"/>
      <c r="T21" s="6"/>
      <c r="U21" s="6"/>
      <c r="V21" s="6"/>
    </row>
    <row r="22" spans="1:22">
      <c r="A22" s="115"/>
      <c r="B22" s="170"/>
      <c r="C22" s="170"/>
      <c r="D22" s="170"/>
      <c r="E22" s="170"/>
      <c r="G22" s="148"/>
      <c r="H22" s="52"/>
      <c r="I22" s="52"/>
      <c r="J22" s="52"/>
      <c r="K22" s="52"/>
      <c r="L22" s="52"/>
      <c r="M22" s="101"/>
      <c r="N22" s="101"/>
      <c r="O22" s="101"/>
      <c r="P22" s="6"/>
      <c r="Q22" s="6"/>
      <c r="R22" s="6"/>
      <c r="S22" s="6"/>
      <c r="T22" s="6"/>
      <c r="U22" s="6"/>
      <c r="V22" s="6"/>
    </row>
    <row r="23" spans="1:22">
      <c r="A23" s="115"/>
      <c r="B23" s="170"/>
      <c r="C23" s="170"/>
      <c r="D23" s="170"/>
      <c r="E23" s="170"/>
      <c r="G23" s="148"/>
      <c r="H23" s="52"/>
      <c r="I23" s="52"/>
      <c r="J23" s="52"/>
      <c r="K23" s="52"/>
      <c r="L23" s="52"/>
      <c r="M23" s="101"/>
      <c r="N23" s="101"/>
      <c r="O23" s="101"/>
      <c r="P23" s="6"/>
      <c r="Q23" s="6"/>
      <c r="R23" s="6"/>
      <c r="S23" s="6"/>
      <c r="T23" s="6"/>
      <c r="U23" s="6"/>
      <c r="V23" s="6"/>
    </row>
    <row r="24" spans="1:22">
      <c r="A24" s="115"/>
      <c r="B24" s="171"/>
      <c r="C24" s="170"/>
      <c r="D24" s="170"/>
      <c r="E24" s="170"/>
      <c r="G24" s="148"/>
      <c r="H24" s="52"/>
      <c r="I24" s="52"/>
      <c r="J24" s="52"/>
      <c r="K24" s="52"/>
      <c r="L24" s="52"/>
      <c r="M24" s="101"/>
      <c r="N24" s="101"/>
      <c r="O24" s="101"/>
      <c r="P24" s="6"/>
      <c r="Q24" s="6"/>
      <c r="R24" s="6"/>
      <c r="S24" s="6"/>
      <c r="T24" s="6"/>
      <c r="U24" s="6"/>
      <c r="V24" s="6"/>
    </row>
    <row r="25" spans="1:22">
      <c r="A25" s="115"/>
      <c r="B25" s="171"/>
      <c r="C25" s="170"/>
      <c r="D25" s="170"/>
      <c r="E25" s="170"/>
      <c r="G25" s="148"/>
      <c r="H25" s="52"/>
      <c r="I25" s="52"/>
      <c r="J25" s="52"/>
      <c r="K25" s="52"/>
      <c r="L25" s="52"/>
      <c r="M25" s="101"/>
      <c r="N25" s="101"/>
      <c r="O25" s="101"/>
      <c r="P25" s="6"/>
      <c r="Q25" s="6"/>
      <c r="R25" s="6"/>
      <c r="S25" s="6"/>
      <c r="T25" s="6"/>
      <c r="U25" s="6"/>
      <c r="V25" s="6"/>
    </row>
    <row r="26" spans="1:22">
      <c r="A26" s="115"/>
      <c r="B26" s="171"/>
      <c r="C26" s="170"/>
      <c r="D26" s="170"/>
      <c r="E26" s="170"/>
      <c r="G26" s="149"/>
      <c r="H26" s="52"/>
      <c r="I26" s="52"/>
      <c r="J26" s="52"/>
      <c r="K26" s="52"/>
      <c r="L26" s="52"/>
      <c r="M26" s="101"/>
      <c r="N26" s="101"/>
      <c r="O26" s="101"/>
      <c r="P26" s="6"/>
      <c r="Q26" s="6"/>
      <c r="R26" s="6"/>
      <c r="S26" s="6"/>
      <c r="T26" s="6"/>
      <c r="U26" s="6"/>
      <c r="V26" s="6"/>
    </row>
    <row r="27" spans="1:22">
      <c r="A27" s="115"/>
      <c r="B27" s="171"/>
      <c r="C27" s="170"/>
      <c r="D27" s="170"/>
      <c r="E27" s="170"/>
      <c r="F27" s="174"/>
      <c r="G27" s="175"/>
      <c r="H27" s="115"/>
      <c r="I27" s="115"/>
      <c r="J27" s="115"/>
      <c r="K27" s="3"/>
      <c r="L27" s="3"/>
      <c r="M27" s="100"/>
      <c r="N27" s="100"/>
      <c r="P27" s="2"/>
      <c r="Q27" s="2"/>
      <c r="R27" s="2"/>
      <c r="S27" s="2"/>
    </row>
    <row r="28" spans="1:22">
      <c r="A28" s="172"/>
      <c r="B28" s="172"/>
      <c r="C28" s="172"/>
      <c r="D28" s="173"/>
      <c r="E28" s="173"/>
      <c r="F28" s="174"/>
      <c r="G28" s="116"/>
      <c r="H28" s="115"/>
      <c r="I28" s="115"/>
      <c r="J28" s="115"/>
      <c r="K28" s="3"/>
      <c r="L28" s="3"/>
      <c r="M28" s="100"/>
      <c r="N28" s="100"/>
      <c r="P28" s="2"/>
      <c r="Q28" s="2"/>
      <c r="R28" s="2"/>
      <c r="S28" s="2"/>
    </row>
    <row r="29" spans="1:22">
      <c r="A29" s="28"/>
      <c r="B29" s="28"/>
      <c r="C29" s="28"/>
      <c r="D29" s="174"/>
      <c r="E29" s="174"/>
      <c r="F29" s="174"/>
      <c r="G29" s="116"/>
      <c r="H29" s="115"/>
      <c r="I29" s="115"/>
      <c r="J29" s="115"/>
      <c r="K29" s="3"/>
      <c r="L29" s="3"/>
      <c r="M29" s="100"/>
      <c r="N29" s="100"/>
      <c r="P29" s="2"/>
      <c r="Q29" s="2"/>
      <c r="R29" s="2"/>
      <c r="S29" s="2"/>
    </row>
    <row r="30" spans="1:22">
      <c r="A30" s="28"/>
      <c r="B30" s="115"/>
      <c r="C30" s="115"/>
      <c r="D30" s="169"/>
      <c r="E30" s="174"/>
      <c r="F30" s="174"/>
      <c r="G30" s="116"/>
      <c r="H30" s="115"/>
      <c r="I30" s="115"/>
      <c r="J30" s="115"/>
      <c r="K30" s="3"/>
      <c r="L30" s="3"/>
      <c r="M30" s="100"/>
      <c r="N30" s="100"/>
      <c r="P30" s="2"/>
      <c r="Q30" s="2"/>
      <c r="R30" s="2"/>
      <c r="S30" s="2"/>
    </row>
    <row r="31" spans="1:22" s="6" customFormat="1">
      <c r="A31" s="5"/>
      <c r="B31" s="5"/>
      <c r="C31" s="5"/>
      <c r="D31" s="5"/>
      <c r="E31" s="5"/>
      <c r="F31" s="116"/>
      <c r="G31" s="116"/>
      <c r="H31" s="115"/>
      <c r="I31" s="115"/>
      <c r="J31" s="115"/>
      <c r="K31" s="52"/>
      <c r="N31" s="101"/>
      <c r="O31" s="101"/>
      <c r="P31" s="101"/>
      <c r="Q31" s="101"/>
      <c r="R31" s="101"/>
    </row>
    <row r="32" spans="1:22" s="6" customFormat="1">
      <c r="A32" s="5"/>
      <c r="B32" s="5"/>
      <c r="C32" s="5"/>
      <c r="D32" s="5"/>
      <c r="E32" s="5"/>
      <c r="F32" s="176"/>
      <c r="G32" s="116"/>
      <c r="H32" s="115"/>
      <c r="I32" s="115"/>
      <c r="J32" s="115"/>
      <c r="K32" s="52"/>
      <c r="L32" s="52"/>
      <c r="O32" s="101"/>
      <c r="P32" s="101"/>
      <c r="Q32" s="101"/>
      <c r="R32" s="101"/>
      <c r="S32" s="101"/>
    </row>
    <row r="33" spans="1:22" s="6" customFormat="1" ht="15" customHeight="1">
      <c r="A33" s="5"/>
      <c r="B33" s="5"/>
      <c r="C33" s="5"/>
      <c r="D33" s="5"/>
      <c r="E33" s="5"/>
      <c r="F33" s="176"/>
      <c r="G33" s="116"/>
      <c r="H33" s="28"/>
      <c r="I33" s="28"/>
      <c r="J33" s="28"/>
      <c r="O33" s="101"/>
      <c r="P33" s="101"/>
      <c r="Q33" s="101"/>
      <c r="R33" s="101"/>
      <c r="S33" s="101"/>
    </row>
    <row r="34" spans="1:22" s="6" customFormat="1">
      <c r="A34" s="2"/>
      <c r="B34" s="2"/>
      <c r="C34" s="2"/>
      <c r="D34" s="5"/>
      <c r="E34" s="5"/>
      <c r="F34" s="176"/>
      <c r="G34" s="177"/>
      <c r="H34" s="28"/>
      <c r="I34" s="28"/>
      <c r="J34" s="28"/>
      <c r="O34" s="101"/>
      <c r="P34" s="101"/>
      <c r="Q34" s="101"/>
      <c r="R34" s="101"/>
      <c r="S34" s="101"/>
    </row>
    <row r="35" spans="1:22" s="6" customFormat="1">
      <c r="A35" s="2"/>
      <c r="B35" s="2"/>
      <c r="C35" s="2"/>
      <c r="D35" s="5"/>
      <c r="E35" s="22"/>
      <c r="F35" s="174"/>
      <c r="G35" s="13"/>
      <c r="O35" s="101"/>
      <c r="P35" s="101"/>
      <c r="Q35" s="101"/>
      <c r="R35" s="101"/>
      <c r="S35" s="101"/>
    </row>
    <row r="36" spans="1:22" s="6" customFormat="1">
      <c r="A36" s="2"/>
      <c r="B36" s="2"/>
      <c r="C36" s="2"/>
      <c r="D36" s="5"/>
      <c r="E36" s="22"/>
      <c r="F36" s="169"/>
      <c r="G36" s="13"/>
      <c r="O36" s="101"/>
      <c r="P36" s="101"/>
      <c r="Q36" s="101"/>
      <c r="R36" s="101"/>
      <c r="S36" s="101"/>
    </row>
    <row r="37" spans="1:22" s="6" customFormat="1">
      <c r="A37" s="2"/>
      <c r="B37" s="2"/>
      <c r="C37" s="2"/>
      <c r="D37" s="5"/>
      <c r="E37" s="22"/>
      <c r="F37" s="169"/>
      <c r="G37" s="13"/>
      <c r="O37" s="101"/>
      <c r="P37" s="101"/>
      <c r="Q37" s="101"/>
      <c r="R37" s="101"/>
      <c r="S37" s="101"/>
    </row>
    <row r="38" spans="1:22" s="6" customFormat="1">
      <c r="A38" s="2"/>
      <c r="B38" s="2"/>
      <c r="C38" s="2"/>
      <c r="D38" s="5"/>
      <c r="E38" s="22"/>
      <c r="F38" s="169"/>
      <c r="G38" s="13"/>
      <c r="O38" s="101"/>
      <c r="P38" s="101"/>
      <c r="Q38" s="101"/>
      <c r="R38" s="101"/>
      <c r="S38" s="101"/>
    </row>
    <row r="39" spans="1:22" s="6" customFormat="1">
      <c r="A39" s="2"/>
      <c r="B39" s="2"/>
      <c r="C39" s="2"/>
      <c r="D39" s="5"/>
      <c r="E39" s="22"/>
      <c r="F39" s="170"/>
      <c r="G39" s="13"/>
      <c r="O39" s="101"/>
      <c r="P39" s="101"/>
      <c r="Q39" s="101"/>
      <c r="R39" s="101"/>
      <c r="S39" s="101"/>
    </row>
    <row r="40" spans="1:22" s="101" customFormat="1">
      <c r="A40" s="2"/>
      <c r="B40" s="2"/>
      <c r="C40" s="2"/>
      <c r="D40" s="5"/>
      <c r="E40" s="22"/>
      <c r="F40" s="170"/>
      <c r="G40" s="13"/>
      <c r="H40" s="6"/>
      <c r="I40" s="6"/>
      <c r="J40" s="6"/>
      <c r="K40" s="6"/>
      <c r="L40" s="6"/>
      <c r="M40" s="6"/>
      <c r="N40" s="6"/>
      <c r="O40" s="6"/>
      <c r="P40" s="6"/>
      <c r="Q40" s="6"/>
      <c r="T40" s="6"/>
      <c r="U40" s="6"/>
    </row>
    <row r="41" spans="1:22" s="101" customFormat="1">
      <c r="A41" s="2"/>
      <c r="B41" s="2"/>
      <c r="C41" s="2"/>
      <c r="D41" s="5"/>
      <c r="E41" s="22"/>
      <c r="F41" s="170"/>
      <c r="G41" s="13"/>
      <c r="H41" s="6"/>
      <c r="I41" s="6"/>
      <c r="J41" s="6"/>
      <c r="K41" s="6"/>
      <c r="L41" s="6"/>
      <c r="M41" s="6"/>
      <c r="N41" s="6"/>
      <c r="O41" s="6"/>
      <c r="P41" s="6"/>
      <c r="Q41" s="6"/>
      <c r="T41" s="6"/>
      <c r="U41" s="6"/>
    </row>
    <row r="42" spans="1:22" s="101" customFormat="1">
      <c r="A42" s="2"/>
      <c r="B42" s="2"/>
      <c r="C42" s="2"/>
      <c r="D42" s="5"/>
      <c r="E42" s="22"/>
      <c r="F42" s="170"/>
      <c r="G42" s="13"/>
      <c r="H42" s="6"/>
      <c r="I42" s="6"/>
      <c r="J42" s="6"/>
      <c r="K42" s="6"/>
      <c r="L42" s="6"/>
      <c r="M42" s="6"/>
      <c r="N42" s="6"/>
      <c r="O42" s="6"/>
      <c r="P42" s="6"/>
      <c r="Q42" s="6"/>
      <c r="T42" s="6"/>
      <c r="U42" s="6"/>
    </row>
    <row r="43" spans="1:22" s="101" customFormat="1">
      <c r="A43" s="2"/>
      <c r="B43" s="2"/>
      <c r="C43" s="2"/>
      <c r="D43" s="5"/>
      <c r="E43" s="22"/>
      <c r="F43" s="170"/>
      <c r="G43" s="13"/>
      <c r="H43" s="6"/>
      <c r="I43" s="6"/>
      <c r="J43" s="6"/>
      <c r="K43" s="6"/>
      <c r="L43" s="6"/>
      <c r="M43" s="6"/>
      <c r="N43" s="6"/>
      <c r="O43" s="6"/>
      <c r="P43" s="6"/>
      <c r="Q43" s="6"/>
      <c r="T43" s="6"/>
      <c r="U43" s="6"/>
    </row>
    <row r="44" spans="1:22" s="101" customFormat="1">
      <c r="A44" s="2"/>
      <c r="B44" s="2"/>
      <c r="C44" s="2"/>
      <c r="D44" s="5"/>
      <c r="E44" s="22"/>
      <c r="F44" s="170"/>
      <c r="G44" s="13"/>
      <c r="H44" s="6"/>
      <c r="I44" s="6"/>
      <c r="J44" s="6"/>
      <c r="K44" s="6"/>
      <c r="L44" s="6"/>
      <c r="M44" s="6"/>
      <c r="N44" s="6"/>
      <c r="O44" s="6"/>
      <c r="P44" s="6"/>
      <c r="Q44" s="6"/>
      <c r="T44" s="6"/>
      <c r="U44" s="6"/>
    </row>
    <row r="45" spans="1:22" s="101" customFormat="1">
      <c r="A45" s="2"/>
      <c r="B45" s="2"/>
      <c r="C45" s="2"/>
      <c r="D45" s="5"/>
      <c r="E45" s="22"/>
      <c r="F45" s="173"/>
      <c r="G45" s="13"/>
      <c r="H45" s="6"/>
      <c r="I45" s="6"/>
      <c r="J45" s="6"/>
      <c r="K45" s="6"/>
      <c r="L45" s="6"/>
      <c r="M45" s="6"/>
      <c r="N45" s="6"/>
      <c r="O45" s="6"/>
      <c r="P45" s="6"/>
      <c r="Q45" s="6"/>
      <c r="T45" s="6"/>
      <c r="U45" s="6"/>
    </row>
    <row r="46" spans="1:22" s="5" customFormat="1">
      <c r="A46" s="2"/>
      <c r="B46" s="2"/>
      <c r="C46" s="2"/>
      <c r="G46" s="102"/>
      <c r="H46" s="6"/>
      <c r="I46" s="2"/>
      <c r="J46" s="2"/>
      <c r="K46" s="2"/>
      <c r="L46" s="2"/>
      <c r="M46" s="2"/>
      <c r="N46" s="2"/>
      <c r="O46" s="100"/>
      <c r="P46" s="100"/>
      <c r="Q46" s="100"/>
      <c r="R46" s="100"/>
      <c r="S46" s="100"/>
      <c r="T46" s="2"/>
      <c r="U46" s="2"/>
      <c r="V46" s="2"/>
    </row>
    <row r="47" spans="1:22" s="5" customFormat="1">
      <c r="A47" s="2"/>
      <c r="B47" s="2"/>
      <c r="C47" s="2"/>
      <c r="G47" s="102"/>
      <c r="H47" s="6"/>
      <c r="I47" s="2"/>
      <c r="J47" s="2"/>
      <c r="K47" s="2"/>
      <c r="L47" s="2"/>
      <c r="M47" s="2"/>
      <c r="N47" s="2"/>
      <c r="O47" s="100"/>
      <c r="P47" s="100"/>
      <c r="Q47" s="100"/>
      <c r="R47" s="100"/>
      <c r="S47" s="100"/>
      <c r="T47" s="2"/>
      <c r="U47" s="2"/>
      <c r="V47" s="2"/>
    </row>
    <row r="48" spans="1:22" s="5" customFormat="1">
      <c r="A48" s="2"/>
      <c r="B48" s="2"/>
      <c r="C48" s="2"/>
      <c r="G48" s="102"/>
      <c r="H48" s="6"/>
      <c r="I48" s="2"/>
      <c r="J48" s="2"/>
      <c r="K48" s="2"/>
      <c r="L48" s="2"/>
      <c r="M48" s="2"/>
      <c r="N48" s="2"/>
      <c r="O48" s="100"/>
      <c r="P48" s="100"/>
      <c r="Q48" s="100"/>
      <c r="R48" s="100"/>
      <c r="S48" s="100"/>
      <c r="T48" s="2"/>
      <c r="U48" s="2"/>
      <c r="V48" s="2"/>
    </row>
    <row r="49" spans="1:22" s="5" customFormat="1" ht="15" customHeight="1">
      <c r="A49" s="2"/>
      <c r="B49" s="2"/>
      <c r="C49" s="2"/>
      <c r="G49" s="102"/>
      <c r="H49" s="6"/>
      <c r="I49" s="2"/>
      <c r="J49" s="2"/>
      <c r="K49" s="2"/>
      <c r="L49" s="2"/>
      <c r="M49" s="2"/>
      <c r="N49" s="2"/>
      <c r="O49" s="100"/>
      <c r="P49" s="100"/>
      <c r="Q49" s="100"/>
      <c r="R49" s="100"/>
      <c r="S49" s="100"/>
      <c r="T49" s="2"/>
      <c r="U49" s="2"/>
      <c r="V49" s="2"/>
    </row>
    <row r="50" spans="1:22" s="5" customFormat="1">
      <c r="A50" s="2"/>
      <c r="B50" s="2"/>
      <c r="C50" s="2"/>
      <c r="G50" s="102"/>
      <c r="H50" s="6"/>
      <c r="I50" s="2"/>
      <c r="J50" s="2"/>
      <c r="K50" s="2"/>
      <c r="L50" s="2"/>
      <c r="M50" s="2"/>
      <c r="N50" s="2"/>
      <c r="O50" s="100"/>
      <c r="P50" s="100"/>
      <c r="Q50" s="100"/>
      <c r="R50" s="100"/>
      <c r="S50" s="100"/>
      <c r="T50" s="2"/>
      <c r="U50" s="2"/>
      <c r="V50" s="2"/>
    </row>
    <row r="52" spans="1:22">
      <c r="D52" s="22"/>
    </row>
    <row r="53" spans="1:22">
      <c r="D53" s="22"/>
    </row>
    <row r="54" spans="1:22">
      <c r="D54" s="22"/>
    </row>
    <row r="55" spans="1:22">
      <c r="A55" s="9"/>
      <c r="B55" s="9"/>
      <c r="C55" s="9"/>
      <c r="D55" s="22"/>
    </row>
    <row r="56" spans="1:22">
      <c r="A56" s="9"/>
      <c r="B56" s="9"/>
      <c r="C56" s="9"/>
      <c r="D56" s="22"/>
    </row>
    <row r="57" spans="1:22">
      <c r="A57" s="9"/>
      <c r="B57" s="9"/>
      <c r="C57" s="9"/>
      <c r="D57" s="22"/>
    </row>
    <row r="58" spans="1:22">
      <c r="A58" s="9"/>
      <c r="B58" s="9"/>
      <c r="C58" s="9"/>
      <c r="D58" s="22"/>
    </row>
    <row r="59" spans="1:22">
      <c r="A59" s="9"/>
      <c r="B59" s="9"/>
      <c r="C59" s="9"/>
      <c r="D59" s="22"/>
    </row>
    <row r="60" spans="1:22">
      <c r="A60" s="25"/>
      <c r="B60" s="26"/>
      <c r="C60" s="26"/>
      <c r="D60" s="22"/>
    </row>
    <row r="61" spans="1:22">
      <c r="A61" s="27"/>
      <c r="B61" s="10"/>
      <c r="C61" s="11"/>
      <c r="D61" s="22"/>
    </row>
    <row r="62" spans="1:22">
      <c r="A62" s="9"/>
      <c r="B62" s="10"/>
      <c r="C62" s="11"/>
      <c r="D62" s="22"/>
    </row>
    <row r="63" spans="1:22">
      <c r="A63" s="9"/>
      <c r="B63" s="10"/>
      <c r="C63" s="11"/>
      <c r="D63" s="22"/>
    </row>
    <row r="64" spans="1:22">
      <c r="A64" s="9"/>
      <c r="B64" s="10"/>
      <c r="C64" s="11"/>
      <c r="D64" s="22"/>
    </row>
    <row r="65" spans="1:22">
      <c r="A65" s="9"/>
      <c r="B65" s="10"/>
      <c r="C65" s="11"/>
      <c r="D65" s="22"/>
    </row>
    <row r="66" spans="1:22">
      <c r="A66" s="9"/>
      <c r="B66" s="10"/>
      <c r="C66" s="11"/>
      <c r="D66" s="22"/>
    </row>
    <row r="67" spans="1:22">
      <c r="A67" s="9"/>
      <c r="B67" s="9"/>
      <c r="C67" s="9"/>
      <c r="D67" s="22"/>
    </row>
    <row r="68" spans="1:22">
      <c r="A68" s="9"/>
      <c r="B68" s="9"/>
      <c r="C68" s="9"/>
      <c r="D68" s="22"/>
    </row>
    <row r="69" spans="1:22" s="5" customFormat="1">
      <c r="A69" s="9"/>
      <c r="B69" s="9"/>
      <c r="C69" s="9"/>
      <c r="D69" s="22"/>
      <c r="G69" s="102"/>
      <c r="H69" s="6"/>
      <c r="I69" s="2"/>
      <c r="J69" s="2"/>
      <c r="K69" s="2"/>
      <c r="L69" s="2"/>
      <c r="M69" s="2"/>
      <c r="N69" s="2"/>
      <c r="O69" s="100"/>
      <c r="P69" s="100"/>
      <c r="Q69" s="100"/>
      <c r="R69" s="100"/>
      <c r="S69" s="100"/>
      <c r="T69" s="2"/>
      <c r="U69" s="2"/>
      <c r="V69" s="2"/>
    </row>
    <row r="70" spans="1:22" s="5" customFormat="1">
      <c r="A70" s="9"/>
      <c r="B70" s="9"/>
      <c r="C70" s="9"/>
      <c r="D70" s="22"/>
      <c r="G70" s="102"/>
      <c r="H70" s="6"/>
      <c r="I70" s="2"/>
      <c r="J70" s="2"/>
      <c r="K70" s="2"/>
      <c r="L70" s="2"/>
      <c r="M70" s="2"/>
      <c r="N70" s="2"/>
      <c r="O70" s="100"/>
      <c r="P70" s="100"/>
      <c r="Q70" s="100"/>
      <c r="R70" s="100"/>
      <c r="S70" s="100"/>
      <c r="T70" s="2"/>
      <c r="U70" s="2"/>
      <c r="V70" s="2"/>
    </row>
    <row r="71" spans="1:22" s="5" customFormat="1">
      <c r="A71" s="9"/>
      <c r="B71" s="9"/>
      <c r="C71" s="9"/>
      <c r="D71" s="22"/>
      <c r="G71" s="102"/>
      <c r="H71" s="6"/>
      <c r="I71" s="2"/>
      <c r="J71" s="2"/>
      <c r="K71" s="2"/>
      <c r="L71" s="2"/>
      <c r="M71" s="2"/>
      <c r="N71" s="2"/>
      <c r="O71" s="100"/>
      <c r="P71" s="100"/>
      <c r="Q71" s="100"/>
      <c r="R71" s="100"/>
      <c r="S71" s="100"/>
      <c r="T71" s="2"/>
      <c r="U71" s="2"/>
      <c r="V71" s="2"/>
    </row>
    <row r="72" spans="1:22" s="5" customFormat="1">
      <c r="A72" s="9"/>
      <c r="B72" s="9"/>
      <c r="C72" s="9"/>
      <c r="D72" s="22"/>
      <c r="G72" s="102"/>
      <c r="H72" s="6"/>
      <c r="I72" s="2"/>
      <c r="J72" s="2"/>
      <c r="K72" s="2"/>
      <c r="L72" s="2"/>
      <c r="M72" s="2"/>
      <c r="N72" s="2"/>
      <c r="O72" s="100"/>
      <c r="P72" s="100"/>
      <c r="Q72" s="100"/>
      <c r="R72" s="100"/>
      <c r="S72" s="100"/>
      <c r="T72" s="2"/>
      <c r="U72" s="2"/>
      <c r="V72" s="2"/>
    </row>
    <row r="73" spans="1:22" s="5" customFormat="1">
      <c r="A73" s="9"/>
      <c r="B73" s="9"/>
      <c r="C73" s="9"/>
      <c r="D73" s="22"/>
      <c r="G73" s="102"/>
      <c r="H73" s="6"/>
      <c r="I73" s="2"/>
      <c r="J73" s="2"/>
      <c r="K73" s="2"/>
      <c r="L73" s="2"/>
      <c r="M73" s="2"/>
      <c r="N73" s="2"/>
      <c r="O73" s="100"/>
      <c r="P73" s="100"/>
      <c r="Q73" s="100"/>
      <c r="R73" s="100"/>
      <c r="S73" s="100"/>
      <c r="T73" s="2"/>
      <c r="U73" s="2"/>
      <c r="V73" s="2"/>
    </row>
    <row r="74" spans="1:22" s="5" customFormat="1">
      <c r="A74" s="9"/>
      <c r="B74" s="9"/>
      <c r="C74" s="9"/>
      <c r="D74" s="22"/>
      <c r="G74" s="102"/>
      <c r="H74" s="6"/>
      <c r="I74" s="2"/>
      <c r="J74" s="2"/>
      <c r="K74" s="2"/>
      <c r="L74" s="2"/>
      <c r="M74" s="2"/>
      <c r="N74" s="2"/>
      <c r="O74" s="100"/>
      <c r="P74" s="100"/>
      <c r="Q74" s="100"/>
      <c r="R74" s="100"/>
      <c r="S74" s="100"/>
      <c r="T74" s="2"/>
      <c r="U74" s="2"/>
      <c r="V74" s="2"/>
    </row>
    <row r="75" spans="1:22" s="5" customFormat="1">
      <c r="A75" s="9"/>
      <c r="B75" s="9"/>
      <c r="C75" s="9"/>
      <c r="D75" s="22"/>
      <c r="G75" s="102"/>
      <c r="H75" s="6"/>
      <c r="I75" s="2"/>
      <c r="J75" s="2"/>
      <c r="K75" s="2"/>
      <c r="L75" s="2"/>
      <c r="M75" s="2"/>
      <c r="N75" s="2"/>
      <c r="O75" s="100"/>
      <c r="P75" s="100"/>
      <c r="Q75" s="100"/>
      <c r="R75" s="100"/>
      <c r="S75" s="100"/>
      <c r="T75" s="2"/>
      <c r="U75" s="2"/>
      <c r="V75" s="2"/>
    </row>
    <row r="76" spans="1:22" s="5" customFormat="1">
      <c r="A76" s="9"/>
      <c r="B76" s="9"/>
      <c r="C76" s="9"/>
      <c r="G76" s="102"/>
      <c r="H76" s="6"/>
      <c r="I76" s="2"/>
      <c r="J76" s="2"/>
      <c r="K76" s="2"/>
      <c r="L76" s="2"/>
      <c r="M76" s="2"/>
      <c r="N76" s="2"/>
      <c r="O76" s="100"/>
      <c r="P76" s="100"/>
      <c r="Q76" s="100"/>
      <c r="R76" s="100"/>
      <c r="S76" s="100"/>
      <c r="T76" s="2"/>
      <c r="U76" s="2"/>
      <c r="V76" s="2"/>
    </row>
    <row r="77" spans="1:22" s="5" customFormat="1">
      <c r="A77" s="9"/>
      <c r="B77" s="9"/>
      <c r="C77" s="9"/>
      <c r="G77" s="102"/>
      <c r="H77" s="6"/>
      <c r="I77" s="2"/>
      <c r="J77" s="2"/>
      <c r="K77" s="2"/>
      <c r="L77" s="2"/>
      <c r="M77" s="2"/>
      <c r="N77" s="2"/>
      <c r="O77" s="100"/>
      <c r="P77" s="100"/>
      <c r="Q77" s="100"/>
      <c r="R77" s="100"/>
      <c r="S77" s="100"/>
      <c r="T77" s="2"/>
      <c r="U77" s="2"/>
      <c r="V77" s="2"/>
    </row>
    <row r="78" spans="1:22" s="5" customFormat="1">
      <c r="A78" s="9"/>
      <c r="B78" s="9"/>
      <c r="C78" s="9"/>
      <c r="G78" s="102"/>
      <c r="H78" s="6"/>
      <c r="I78" s="2"/>
      <c r="J78" s="2"/>
      <c r="K78" s="2"/>
      <c r="L78" s="2"/>
      <c r="M78" s="2"/>
      <c r="N78" s="2"/>
      <c r="O78" s="100"/>
      <c r="P78" s="100"/>
      <c r="Q78" s="100"/>
      <c r="R78" s="100"/>
      <c r="S78" s="100"/>
      <c r="T78" s="2"/>
      <c r="U78" s="2"/>
      <c r="V78" s="2"/>
    </row>
    <row r="79" spans="1:22" s="5" customFormat="1">
      <c r="A79" s="2"/>
      <c r="B79" s="2"/>
      <c r="C79" s="2"/>
      <c r="G79" s="102"/>
      <c r="H79" s="6"/>
      <c r="I79" s="2"/>
      <c r="J79" s="2"/>
      <c r="K79" s="2"/>
      <c r="L79" s="2"/>
      <c r="M79" s="2"/>
      <c r="N79" s="2"/>
      <c r="O79" s="100"/>
      <c r="P79" s="100"/>
      <c r="Q79" s="100"/>
      <c r="R79" s="100"/>
      <c r="S79" s="100"/>
      <c r="T79" s="2"/>
      <c r="U79" s="2"/>
      <c r="V79" s="2"/>
    </row>
    <row r="80" spans="1:22" s="5" customFormat="1">
      <c r="A80" s="2"/>
      <c r="B80" s="2"/>
      <c r="C80" s="2"/>
      <c r="G80" s="102"/>
      <c r="H80" s="6"/>
      <c r="I80" s="2"/>
      <c r="J80" s="2"/>
      <c r="K80" s="2"/>
      <c r="L80" s="2"/>
      <c r="M80" s="2"/>
      <c r="N80" s="2"/>
      <c r="O80" s="100"/>
      <c r="P80" s="100"/>
      <c r="Q80" s="100"/>
      <c r="R80" s="100"/>
      <c r="S80" s="100"/>
      <c r="T80" s="2"/>
      <c r="U80" s="2"/>
      <c r="V80" s="2"/>
    </row>
    <row r="81" spans="1:22" s="5" customFormat="1">
      <c r="A81" s="2"/>
      <c r="B81" s="2"/>
      <c r="C81" s="2"/>
      <c r="G81" s="102"/>
      <c r="H81" s="6"/>
      <c r="I81" s="2"/>
      <c r="J81" s="2"/>
      <c r="K81" s="2"/>
      <c r="L81" s="2"/>
      <c r="M81" s="2"/>
      <c r="N81" s="2"/>
      <c r="O81" s="100"/>
      <c r="P81" s="100"/>
      <c r="Q81" s="100"/>
      <c r="R81" s="100"/>
      <c r="S81" s="100"/>
      <c r="T81" s="2"/>
      <c r="U81" s="2"/>
      <c r="V81" s="2"/>
    </row>
    <row r="82" spans="1:22" s="5" customFormat="1">
      <c r="A82" s="2"/>
      <c r="B82" s="2"/>
      <c r="C82" s="2"/>
      <c r="G82" s="102"/>
      <c r="H82" s="6"/>
      <c r="I82" s="2"/>
      <c r="J82" s="2"/>
      <c r="K82" s="2"/>
      <c r="L82" s="2"/>
      <c r="M82" s="2"/>
      <c r="N82" s="2"/>
      <c r="O82" s="100"/>
      <c r="P82" s="100"/>
      <c r="Q82" s="100"/>
      <c r="R82" s="100"/>
      <c r="S82" s="100"/>
      <c r="T82" s="2"/>
      <c r="U82" s="2"/>
      <c r="V82" s="2"/>
    </row>
    <row r="83" spans="1:22" s="5" customFormat="1">
      <c r="A83" s="2"/>
      <c r="B83" s="2"/>
      <c r="C83" s="2"/>
      <c r="G83" s="102"/>
      <c r="H83" s="6"/>
      <c r="I83" s="2"/>
      <c r="J83" s="2"/>
      <c r="K83" s="2"/>
      <c r="L83" s="2"/>
      <c r="M83" s="2"/>
      <c r="N83" s="2"/>
      <c r="O83" s="100"/>
      <c r="P83" s="100"/>
      <c r="Q83" s="100"/>
      <c r="R83" s="100"/>
      <c r="S83" s="100"/>
      <c r="T83" s="2"/>
      <c r="U83" s="2"/>
      <c r="V83" s="2"/>
    </row>
    <row r="84" spans="1:22" s="5" customFormat="1">
      <c r="A84" s="2"/>
      <c r="B84" s="2"/>
      <c r="C84" s="2"/>
      <c r="G84" s="102"/>
      <c r="H84" s="6"/>
      <c r="I84" s="2"/>
      <c r="J84" s="2"/>
      <c r="K84" s="2"/>
      <c r="L84" s="2"/>
      <c r="M84" s="2"/>
      <c r="N84" s="2"/>
      <c r="O84" s="100"/>
      <c r="P84" s="100"/>
      <c r="Q84" s="100"/>
      <c r="R84" s="100"/>
      <c r="S84" s="100"/>
      <c r="T84" s="2"/>
      <c r="U84" s="2"/>
      <c r="V84" s="2"/>
    </row>
    <row r="85" spans="1:22" s="5" customFormat="1">
      <c r="A85" s="2"/>
      <c r="B85" s="2"/>
      <c r="C85" s="2"/>
      <c r="G85" s="102"/>
      <c r="H85" s="6"/>
      <c r="I85" s="2"/>
      <c r="J85" s="2"/>
      <c r="K85" s="2"/>
      <c r="L85" s="2"/>
      <c r="M85" s="2"/>
      <c r="N85" s="2"/>
      <c r="O85" s="100"/>
      <c r="P85" s="100"/>
      <c r="Q85" s="100"/>
      <c r="R85" s="100"/>
      <c r="S85" s="100"/>
      <c r="T85" s="2"/>
      <c r="U85" s="2"/>
      <c r="V85" s="2"/>
    </row>
    <row r="86" spans="1:22" s="5" customFormat="1">
      <c r="A86" s="2"/>
      <c r="B86" s="2"/>
      <c r="C86" s="2"/>
      <c r="G86" s="102"/>
      <c r="H86" s="6"/>
      <c r="I86" s="2"/>
      <c r="J86" s="2"/>
      <c r="K86" s="2"/>
      <c r="L86" s="2"/>
      <c r="M86" s="2"/>
      <c r="N86" s="2"/>
      <c r="O86" s="100"/>
      <c r="P86" s="100"/>
      <c r="Q86" s="100"/>
      <c r="R86" s="100"/>
      <c r="S86" s="100"/>
      <c r="T86" s="2"/>
      <c r="U86" s="2"/>
      <c r="V86" s="2"/>
    </row>
    <row r="87" spans="1:22" s="5" customFormat="1">
      <c r="A87" s="2"/>
      <c r="B87" s="2"/>
      <c r="C87" s="2"/>
      <c r="G87" s="102"/>
      <c r="H87" s="6"/>
      <c r="I87" s="2"/>
      <c r="J87" s="2"/>
      <c r="K87" s="2"/>
      <c r="L87" s="2"/>
      <c r="M87" s="2"/>
      <c r="N87" s="2"/>
      <c r="O87" s="100"/>
      <c r="P87" s="100"/>
      <c r="Q87" s="100"/>
      <c r="R87" s="100"/>
      <c r="S87" s="100"/>
      <c r="T87" s="2"/>
      <c r="U87" s="2"/>
      <c r="V87" s="2"/>
    </row>
    <row r="88" spans="1:22" s="5" customFormat="1">
      <c r="A88" s="2"/>
      <c r="B88" s="2"/>
      <c r="C88" s="2"/>
      <c r="G88" s="102"/>
      <c r="H88" s="6"/>
      <c r="I88" s="2"/>
      <c r="J88" s="2"/>
      <c r="K88" s="2"/>
      <c r="L88" s="2"/>
      <c r="M88" s="2"/>
      <c r="N88" s="2"/>
      <c r="O88" s="100"/>
      <c r="P88" s="100"/>
      <c r="Q88" s="100"/>
      <c r="R88" s="100"/>
      <c r="S88" s="100"/>
      <c r="T88" s="2"/>
      <c r="U88" s="2"/>
      <c r="V88" s="2"/>
    </row>
    <row r="89" spans="1:22" s="5" customFormat="1">
      <c r="A89" s="2"/>
      <c r="B89" s="2"/>
      <c r="C89" s="2"/>
      <c r="G89" s="102"/>
      <c r="H89" s="6"/>
      <c r="I89" s="2"/>
      <c r="J89" s="2"/>
      <c r="K89" s="2"/>
      <c r="L89" s="2"/>
      <c r="M89" s="2"/>
      <c r="N89" s="2"/>
      <c r="O89" s="100"/>
      <c r="P89" s="100"/>
      <c r="Q89" s="100"/>
      <c r="R89" s="100"/>
      <c r="S89" s="100"/>
      <c r="T89" s="2"/>
      <c r="U89" s="2"/>
      <c r="V89" s="2"/>
    </row>
    <row r="90" spans="1:22" s="5" customFormat="1">
      <c r="A90" s="2"/>
      <c r="B90" s="2"/>
      <c r="C90" s="2"/>
      <c r="G90" s="102"/>
      <c r="H90" s="6"/>
      <c r="I90" s="2"/>
      <c r="J90" s="2"/>
      <c r="K90" s="2"/>
      <c r="L90" s="2"/>
      <c r="M90" s="2"/>
      <c r="N90" s="2"/>
      <c r="O90" s="100"/>
      <c r="P90" s="100"/>
      <c r="Q90" s="100"/>
      <c r="R90" s="100"/>
      <c r="S90" s="100"/>
      <c r="T90" s="2"/>
      <c r="U90" s="2"/>
      <c r="V90" s="2"/>
    </row>
    <row r="91" spans="1:22" s="5" customFormat="1">
      <c r="A91" s="2"/>
      <c r="B91" s="2"/>
      <c r="C91" s="2"/>
      <c r="G91" s="102"/>
      <c r="H91" s="6"/>
      <c r="I91" s="2"/>
      <c r="J91" s="2"/>
      <c r="K91" s="2"/>
      <c r="L91" s="2"/>
      <c r="M91" s="2"/>
      <c r="N91" s="2"/>
      <c r="O91" s="100"/>
      <c r="P91" s="100"/>
      <c r="Q91" s="100"/>
      <c r="R91" s="100"/>
      <c r="S91" s="100"/>
      <c r="T91" s="2"/>
      <c r="U91" s="2"/>
      <c r="V91" s="2"/>
    </row>
    <row r="92" spans="1:22" s="5" customFormat="1">
      <c r="A92" s="2"/>
      <c r="B92" s="2"/>
      <c r="C92" s="2"/>
      <c r="G92" s="102"/>
      <c r="H92" s="6"/>
      <c r="I92" s="2"/>
      <c r="J92" s="2"/>
      <c r="K92" s="2"/>
      <c r="L92" s="2"/>
      <c r="M92" s="2"/>
      <c r="N92" s="2"/>
      <c r="O92" s="100"/>
      <c r="P92" s="100"/>
      <c r="Q92" s="100"/>
      <c r="R92" s="100"/>
      <c r="S92" s="100"/>
      <c r="T92" s="2"/>
      <c r="U92" s="2"/>
      <c r="V92" s="2"/>
    </row>
    <row r="93" spans="1:22" s="5" customFormat="1">
      <c r="A93" s="2"/>
      <c r="B93" s="2"/>
      <c r="C93" s="2"/>
      <c r="G93" s="102"/>
      <c r="H93" s="6"/>
      <c r="I93" s="2"/>
      <c r="J93" s="2"/>
      <c r="K93" s="2"/>
      <c r="L93" s="2"/>
      <c r="M93" s="2"/>
      <c r="N93" s="2"/>
      <c r="O93" s="100"/>
      <c r="P93" s="100"/>
      <c r="Q93" s="100"/>
      <c r="R93" s="100"/>
      <c r="S93" s="100"/>
      <c r="T93" s="2"/>
      <c r="U93" s="2"/>
      <c r="V93" s="2"/>
    </row>
    <row r="94" spans="1:22" s="5" customFormat="1">
      <c r="A94" s="2"/>
      <c r="B94" s="2"/>
      <c r="C94" s="2"/>
      <c r="G94" s="102"/>
      <c r="H94" s="6"/>
      <c r="I94" s="2"/>
      <c r="J94" s="2"/>
      <c r="K94" s="2"/>
      <c r="L94" s="2"/>
      <c r="M94" s="2"/>
      <c r="N94" s="2"/>
      <c r="O94" s="100"/>
      <c r="P94" s="100"/>
      <c r="Q94" s="100"/>
      <c r="R94" s="100"/>
      <c r="S94" s="100"/>
      <c r="T94" s="2"/>
      <c r="U94" s="2"/>
      <c r="V94" s="2"/>
    </row>
    <row r="95" spans="1:22" s="5" customFormat="1">
      <c r="A95" s="2"/>
      <c r="B95" s="2"/>
      <c r="C95" s="2"/>
      <c r="G95" s="102"/>
      <c r="H95" s="6"/>
      <c r="I95" s="2"/>
      <c r="J95" s="2"/>
      <c r="K95" s="2"/>
      <c r="L95" s="2"/>
      <c r="M95" s="2"/>
      <c r="N95" s="2"/>
      <c r="O95" s="100"/>
      <c r="P95" s="100"/>
      <c r="Q95" s="100"/>
      <c r="R95" s="100"/>
      <c r="S95" s="100"/>
      <c r="T95" s="2"/>
      <c r="U95" s="2"/>
      <c r="V95" s="2"/>
    </row>
  </sheetData>
  <mergeCells count="4">
    <mergeCell ref="A3:A4"/>
    <mergeCell ref="B4:D4"/>
    <mergeCell ref="A14:E14"/>
    <mergeCell ref="A15:E15"/>
  </mergeCells>
  <printOptions gridLines="1"/>
  <pageMargins left="0.70866141732283472" right="0.70866141732283472" top="0.74803149606299213" bottom="0.74803149606299213" header="0.31496062992125984" footer="0.31496062992125984"/>
  <pageSetup paperSize="9" scale="9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658A-B13E-4039-AD6F-B076729E6173}">
  <sheetPr>
    <pageSetUpPr fitToPage="1"/>
  </sheetPr>
  <dimension ref="A1:P24"/>
  <sheetViews>
    <sheetView workbookViewId="0"/>
  </sheetViews>
  <sheetFormatPr baseColWidth="10" defaultColWidth="11.44140625" defaultRowHeight="13.2"/>
  <cols>
    <col min="1" max="1" width="32.5546875" style="2" customWidth="1"/>
    <col min="2" max="2" width="14.88671875" style="2" bestFit="1" customWidth="1"/>
    <col min="3" max="3" width="14.33203125" style="2" bestFit="1" customWidth="1"/>
    <col min="4" max="5" width="14.88671875" style="2" bestFit="1" customWidth="1"/>
    <col min="6" max="7" width="14.88671875" style="2" customWidth="1"/>
    <col min="8" max="16384" width="11.44140625" style="2"/>
  </cols>
  <sheetData>
    <row r="1" spans="1:16">
      <c r="A1" s="69" t="s">
        <v>149</v>
      </c>
    </row>
    <row r="2" spans="1:16">
      <c r="C2" s="30" t="s">
        <v>3</v>
      </c>
      <c r="I2" s="52"/>
      <c r="K2" s="52"/>
      <c r="L2" s="52"/>
      <c r="M2" s="52"/>
      <c r="N2" s="52"/>
      <c r="O2" s="52"/>
      <c r="P2" s="52"/>
    </row>
    <row r="3" spans="1:16" ht="39.6">
      <c r="A3" s="132" t="s">
        <v>142</v>
      </c>
      <c r="B3" s="133" t="s">
        <v>66</v>
      </c>
      <c r="C3" s="134" t="s">
        <v>74</v>
      </c>
    </row>
    <row r="4" spans="1:16">
      <c r="A4" s="109" t="s">
        <v>143</v>
      </c>
      <c r="B4" s="105">
        <v>-9.8000000000000007</v>
      </c>
      <c r="C4" s="106">
        <v>-7.4</v>
      </c>
    </row>
    <row r="5" spans="1:16">
      <c r="A5" s="109" t="s">
        <v>144</v>
      </c>
      <c r="B5" s="105">
        <v>5.7</v>
      </c>
      <c r="C5" s="106">
        <v>6.9</v>
      </c>
      <c r="F5" s="6"/>
    </row>
    <row r="6" spans="1:16">
      <c r="A6" s="109" t="s">
        <v>145</v>
      </c>
      <c r="B6" s="111">
        <v>-2</v>
      </c>
      <c r="C6" s="106">
        <v>2.7</v>
      </c>
      <c r="F6" s="6"/>
    </row>
    <row r="7" spans="1:16">
      <c r="A7" s="109" t="s">
        <v>146</v>
      </c>
      <c r="B7" s="105">
        <v>-6.1</v>
      </c>
      <c r="C7" s="106">
        <v>1.6</v>
      </c>
    </row>
    <row r="8" spans="1:16">
      <c r="A8" s="109" t="s">
        <v>147</v>
      </c>
      <c r="B8" s="105">
        <v>-1.6</v>
      </c>
      <c r="C8" s="106">
        <v>1.5</v>
      </c>
    </row>
    <row r="9" spans="1:16">
      <c r="A9" s="110" t="s">
        <v>148</v>
      </c>
      <c r="B9" s="107">
        <v>-1.8</v>
      </c>
      <c r="C9" s="108">
        <v>0.8</v>
      </c>
    </row>
    <row r="10" spans="1:16" ht="27" customHeight="1">
      <c r="A10" s="206" t="s">
        <v>156</v>
      </c>
      <c r="B10" s="206"/>
      <c r="C10" s="206"/>
      <c r="D10" s="206"/>
      <c r="E10" s="206"/>
    </row>
    <row r="11" spans="1:16" ht="40.049999999999997" customHeight="1">
      <c r="A11" s="206" t="s">
        <v>138</v>
      </c>
      <c r="B11" s="206"/>
      <c r="C11" s="206"/>
      <c r="D11" s="206"/>
      <c r="E11" s="206"/>
    </row>
    <row r="12" spans="1:16" ht="15.6">
      <c r="A12" s="23" t="s">
        <v>64</v>
      </c>
      <c r="B12" s="23"/>
      <c r="C12" s="35"/>
      <c r="D12" s="35"/>
    </row>
    <row r="13" spans="1:16">
      <c r="A13" s="36" t="s">
        <v>80</v>
      </c>
      <c r="B13" s="23"/>
      <c r="C13" s="23"/>
      <c r="D13" s="23"/>
    </row>
    <row r="18" spans="6:11">
      <c r="F18" s="164"/>
      <c r="G18" s="164"/>
      <c r="H18" s="164"/>
      <c r="K18" s="52"/>
    </row>
    <row r="24" spans="6:11" ht="14.4" customHeight="1"/>
  </sheetData>
  <mergeCells count="2">
    <mergeCell ref="A11:E11"/>
    <mergeCell ref="A10:E10"/>
  </mergeCells>
  <phoneticPr fontId="21" type="noConversion"/>
  <pageMargins left="0.7" right="0.7" top="0.75" bottom="0.75" header="0.3" footer="0.3"/>
  <pageSetup paperSize="9" scale="9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D997-CAC0-4213-A72C-C4D63EE62F11}">
  <sheetPr>
    <pageSetUpPr fitToPage="1"/>
  </sheetPr>
  <dimension ref="A1:BE112"/>
  <sheetViews>
    <sheetView tabSelected="1" zoomScaleNormal="100" workbookViewId="0"/>
  </sheetViews>
  <sheetFormatPr baseColWidth="10" defaultRowHeight="14.4"/>
  <cols>
    <col min="1" max="1" width="23.44140625" style="2" bestFit="1" customWidth="1"/>
    <col min="2" max="2" width="12" style="2" customWidth="1"/>
    <col min="3" max="13" width="10.6640625" style="2" customWidth="1"/>
    <col min="14" max="14" width="12.5546875" style="2" customWidth="1"/>
    <col min="15" max="33" width="10.6640625" style="2" customWidth="1"/>
    <col min="34" max="46" width="11.5546875" style="2"/>
  </cols>
  <sheetData>
    <row r="1" spans="1:47">
      <c r="A1" s="15" t="s">
        <v>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47" ht="15.6">
      <c r="E2" s="17" t="s">
        <v>4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K2" s="6"/>
      <c r="AL2" s="6"/>
      <c r="AM2" s="6"/>
      <c r="AN2" s="6"/>
      <c r="AO2" s="6"/>
    </row>
    <row r="3" spans="1:47" ht="39.6">
      <c r="A3" s="151" t="s">
        <v>142</v>
      </c>
      <c r="B3" s="125" t="s">
        <v>1</v>
      </c>
      <c r="C3" s="126" t="s">
        <v>5</v>
      </c>
      <c r="D3" s="126" t="s">
        <v>6</v>
      </c>
      <c r="E3" s="104" t="s">
        <v>7</v>
      </c>
      <c r="F3" s="16"/>
      <c r="G3" s="16"/>
      <c r="H3" s="16"/>
      <c r="I3" s="16"/>
      <c r="J3" s="16"/>
      <c r="K3" s="16"/>
      <c r="L3" s="16"/>
      <c r="M3" s="16"/>
      <c r="N3" s="16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4"/>
    </row>
    <row r="4" spans="1:47" s="14" customFormat="1">
      <c r="A4" s="152">
        <v>1990</v>
      </c>
      <c r="B4" s="130">
        <v>130</v>
      </c>
      <c r="C4" s="130">
        <v>293</v>
      </c>
      <c r="D4" s="130">
        <v>282</v>
      </c>
      <c r="E4" s="131">
        <v>706</v>
      </c>
      <c r="O4" s="8"/>
      <c r="P4" s="41"/>
      <c r="Q4" s="41"/>
      <c r="R4" s="41"/>
      <c r="S4" s="41"/>
      <c r="T4" s="41"/>
      <c r="U4" s="41"/>
      <c r="V4" s="41"/>
      <c r="W4" s="41"/>
      <c r="X4" s="41"/>
      <c r="Y4" s="41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2"/>
    </row>
    <row r="5" spans="1:47">
      <c r="A5" s="153">
        <v>1991</v>
      </c>
      <c r="B5" s="13">
        <v>138</v>
      </c>
      <c r="C5" s="13">
        <v>298</v>
      </c>
      <c r="D5" s="13">
        <v>270</v>
      </c>
      <c r="E5" s="127">
        <v>707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4"/>
    </row>
    <row r="6" spans="1:47">
      <c r="A6" s="153">
        <v>1992</v>
      </c>
      <c r="B6" s="13">
        <v>140</v>
      </c>
      <c r="C6" s="13">
        <v>291</v>
      </c>
      <c r="D6" s="13">
        <v>265</v>
      </c>
      <c r="E6" s="127">
        <v>696</v>
      </c>
      <c r="I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4"/>
    </row>
    <row r="7" spans="1:47">
      <c r="A7" s="153">
        <v>1993</v>
      </c>
      <c r="B7" s="13">
        <v>138</v>
      </c>
      <c r="C7" s="13">
        <v>283</v>
      </c>
      <c r="D7" s="13">
        <v>228</v>
      </c>
      <c r="E7" s="127">
        <v>649</v>
      </c>
      <c r="I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4"/>
    </row>
    <row r="8" spans="1:47">
      <c r="A8" s="153">
        <v>1994</v>
      </c>
      <c r="B8" s="13">
        <v>134</v>
      </c>
      <c r="C8" s="13">
        <v>272</v>
      </c>
      <c r="D8" s="13">
        <v>238</v>
      </c>
      <c r="E8" s="127">
        <v>644</v>
      </c>
      <c r="I8" s="6"/>
      <c r="L8" s="52"/>
      <c r="M8" s="52"/>
      <c r="N8" s="52"/>
      <c r="O8" s="52"/>
      <c r="P8" s="52"/>
      <c r="Q8" s="52"/>
      <c r="R8" s="52"/>
      <c r="S8" s="33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4"/>
    </row>
    <row r="9" spans="1:47">
      <c r="A9" s="153">
        <v>1995</v>
      </c>
      <c r="B9" s="13">
        <v>135</v>
      </c>
      <c r="C9" s="13">
        <v>269</v>
      </c>
      <c r="D9" s="13">
        <v>260</v>
      </c>
      <c r="E9" s="127">
        <v>664</v>
      </c>
      <c r="L9" s="52"/>
      <c r="M9" s="52"/>
      <c r="N9" s="52"/>
      <c r="O9" s="52"/>
      <c r="P9" s="52"/>
      <c r="Q9" s="52"/>
      <c r="R9" s="52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4"/>
    </row>
    <row r="10" spans="1:47">
      <c r="A10" s="153">
        <v>1996</v>
      </c>
      <c r="B10" s="13">
        <v>143</v>
      </c>
      <c r="C10" s="13">
        <v>270</v>
      </c>
      <c r="D10" s="13">
        <v>260</v>
      </c>
      <c r="E10" s="127">
        <v>674</v>
      </c>
      <c r="L10" s="52"/>
      <c r="M10" s="52"/>
      <c r="N10" s="52"/>
      <c r="O10" s="52"/>
      <c r="P10" s="52"/>
      <c r="Q10" s="52"/>
      <c r="R10" s="52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4"/>
    </row>
    <row r="11" spans="1:47">
      <c r="A11" s="153">
        <v>1997</v>
      </c>
      <c r="B11" s="13">
        <v>140</v>
      </c>
      <c r="C11" s="13">
        <v>249</v>
      </c>
      <c r="D11" s="13">
        <v>252</v>
      </c>
      <c r="E11" s="127">
        <v>642</v>
      </c>
      <c r="L11" s="52"/>
      <c r="M11" s="52"/>
      <c r="N11" s="52"/>
      <c r="O11" s="52"/>
      <c r="P11" s="52"/>
      <c r="Q11" s="52"/>
      <c r="R11" s="52"/>
    </row>
    <row r="12" spans="1:47">
      <c r="A12" s="153">
        <v>1998</v>
      </c>
      <c r="B12" s="13">
        <v>144</v>
      </c>
      <c r="C12" s="13">
        <v>289</v>
      </c>
      <c r="D12" s="13">
        <v>272</v>
      </c>
      <c r="E12" s="127">
        <v>706</v>
      </c>
    </row>
    <row r="13" spans="1:47">
      <c r="A13" s="153">
        <v>1999</v>
      </c>
      <c r="B13" s="13">
        <v>146</v>
      </c>
      <c r="C13" s="13">
        <v>289</v>
      </c>
      <c r="D13" s="13">
        <v>267</v>
      </c>
      <c r="E13" s="127">
        <v>702</v>
      </c>
    </row>
    <row r="14" spans="1:47">
      <c r="A14" s="153">
        <v>2000</v>
      </c>
      <c r="B14" s="13">
        <v>145</v>
      </c>
      <c r="C14" s="13">
        <v>273</v>
      </c>
      <c r="D14" s="13">
        <v>278</v>
      </c>
      <c r="E14" s="127">
        <v>696</v>
      </c>
    </row>
    <row r="15" spans="1:47">
      <c r="A15" s="153">
        <v>2001</v>
      </c>
      <c r="B15" s="13">
        <v>151</v>
      </c>
      <c r="C15" s="13">
        <v>276</v>
      </c>
      <c r="D15" s="13">
        <v>277</v>
      </c>
      <c r="E15" s="127">
        <v>705</v>
      </c>
    </row>
    <row r="16" spans="1:47">
      <c r="A16" s="153">
        <v>2002</v>
      </c>
      <c r="B16" s="13">
        <v>149</v>
      </c>
      <c r="C16" s="13">
        <v>275</v>
      </c>
      <c r="D16" s="13">
        <v>283</v>
      </c>
      <c r="E16" s="127">
        <v>707</v>
      </c>
    </row>
    <row r="17" spans="1:57">
      <c r="A17" s="153">
        <v>2003</v>
      </c>
      <c r="B17" s="13">
        <v>152</v>
      </c>
      <c r="C17" s="13">
        <v>280</v>
      </c>
      <c r="D17" s="13">
        <v>311</v>
      </c>
      <c r="E17" s="127">
        <v>743</v>
      </c>
    </row>
    <row r="18" spans="1:57">
      <c r="A18" s="153">
        <v>2004</v>
      </c>
      <c r="B18" s="13">
        <v>154</v>
      </c>
      <c r="C18" s="13">
        <v>276</v>
      </c>
      <c r="D18" s="13">
        <v>344</v>
      </c>
      <c r="E18" s="127">
        <v>774</v>
      </c>
      <c r="L18" s="36"/>
      <c r="M18" s="36"/>
      <c r="N18" s="36"/>
      <c r="O18" s="36"/>
    </row>
    <row r="19" spans="1:57">
      <c r="A19" s="153">
        <v>2005</v>
      </c>
      <c r="B19" s="13">
        <v>152</v>
      </c>
      <c r="C19" s="13">
        <v>275</v>
      </c>
      <c r="D19" s="13">
        <v>361</v>
      </c>
      <c r="E19" s="127">
        <v>788</v>
      </c>
    </row>
    <row r="20" spans="1:57" s="2" customFormat="1">
      <c r="A20" s="153">
        <v>2006</v>
      </c>
      <c r="B20" s="13">
        <v>149</v>
      </c>
      <c r="C20" s="13">
        <v>267</v>
      </c>
      <c r="D20" s="13">
        <v>379</v>
      </c>
      <c r="E20" s="127">
        <v>796</v>
      </c>
      <c r="AU20"/>
      <c r="AV20"/>
      <c r="AW20"/>
      <c r="AX20"/>
      <c r="AY20"/>
      <c r="AZ20"/>
      <c r="BA20"/>
      <c r="BB20"/>
      <c r="BC20"/>
      <c r="BD20"/>
      <c r="BE20"/>
    </row>
    <row r="21" spans="1:57">
      <c r="A21" s="153">
        <v>2007</v>
      </c>
      <c r="B21" s="13">
        <v>140</v>
      </c>
      <c r="C21" s="13">
        <v>271</v>
      </c>
      <c r="D21" s="13">
        <v>402</v>
      </c>
      <c r="E21" s="127">
        <v>813</v>
      </c>
    </row>
    <row r="22" spans="1:57">
      <c r="A22" s="153">
        <v>2008</v>
      </c>
      <c r="B22" s="13">
        <v>142</v>
      </c>
      <c r="C22" s="13">
        <v>263</v>
      </c>
      <c r="D22" s="13">
        <v>417</v>
      </c>
      <c r="E22" s="127">
        <v>821</v>
      </c>
    </row>
    <row r="23" spans="1:57">
      <c r="A23" s="153">
        <v>2009</v>
      </c>
      <c r="B23" s="13">
        <v>143</v>
      </c>
      <c r="C23" s="13">
        <v>259</v>
      </c>
      <c r="D23" s="13">
        <v>351</v>
      </c>
      <c r="E23" s="127">
        <v>752</v>
      </c>
    </row>
    <row r="24" spans="1:57">
      <c r="A24" s="153">
        <v>2010</v>
      </c>
      <c r="B24" s="13">
        <v>141</v>
      </c>
      <c r="C24" s="13">
        <v>253</v>
      </c>
      <c r="D24" s="13">
        <v>360</v>
      </c>
      <c r="E24" s="127">
        <v>754</v>
      </c>
    </row>
    <row r="25" spans="1:57">
      <c r="A25" s="153">
        <v>2011</v>
      </c>
      <c r="B25" s="13">
        <v>135</v>
      </c>
      <c r="C25" s="13">
        <v>235</v>
      </c>
      <c r="D25" s="13">
        <v>375</v>
      </c>
      <c r="E25" s="127">
        <v>745</v>
      </c>
    </row>
    <row r="26" spans="1:57">
      <c r="A26" s="153">
        <v>2012</v>
      </c>
      <c r="B26" s="13">
        <v>139</v>
      </c>
      <c r="C26" s="13">
        <v>235</v>
      </c>
      <c r="D26" s="13">
        <v>348</v>
      </c>
      <c r="E26" s="127">
        <v>723</v>
      </c>
      <c r="N26" s="47"/>
    </row>
    <row r="27" spans="1:57">
      <c r="A27" s="153">
        <v>2013</v>
      </c>
      <c r="B27" s="13">
        <v>140</v>
      </c>
      <c r="C27" s="13">
        <v>232</v>
      </c>
      <c r="D27" s="13">
        <v>342</v>
      </c>
      <c r="E27" s="127">
        <v>715</v>
      </c>
      <c r="N27" s="47"/>
      <c r="P27" s="6"/>
      <c r="Q27" s="33"/>
      <c r="R27" s="33"/>
      <c r="S27" s="33"/>
      <c r="T27" s="33"/>
      <c r="U27" s="33"/>
      <c r="V27" s="33"/>
      <c r="W27" s="33"/>
    </row>
    <row r="28" spans="1:57">
      <c r="A28" s="153">
        <v>2014</v>
      </c>
      <c r="B28" s="13">
        <v>126</v>
      </c>
      <c r="C28" s="13">
        <v>219</v>
      </c>
      <c r="D28" s="13">
        <v>334</v>
      </c>
      <c r="E28" s="127">
        <v>680</v>
      </c>
      <c r="J28" s="29"/>
      <c r="K28" s="29"/>
      <c r="L28" s="122"/>
      <c r="M28" s="123"/>
      <c r="N28" s="123"/>
      <c r="P28" s="33"/>
      <c r="Q28" s="37"/>
      <c r="R28" s="37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</row>
    <row r="29" spans="1:57">
      <c r="A29" s="153">
        <v>2015</v>
      </c>
      <c r="B29" s="13">
        <v>130</v>
      </c>
      <c r="C29" s="13">
        <v>217</v>
      </c>
      <c r="D29" s="13">
        <v>304</v>
      </c>
      <c r="E29" s="127">
        <v>651</v>
      </c>
      <c r="P29" s="6"/>
      <c r="Q29" s="6"/>
      <c r="R29" s="6"/>
    </row>
    <row r="30" spans="1:57">
      <c r="A30" s="153">
        <v>2016</v>
      </c>
      <c r="B30" s="13">
        <v>132</v>
      </c>
      <c r="C30" s="13">
        <v>219</v>
      </c>
      <c r="D30" s="13">
        <v>301</v>
      </c>
      <c r="E30" s="127">
        <v>652</v>
      </c>
    </row>
    <row r="31" spans="1:57">
      <c r="A31" s="153">
        <v>2017</v>
      </c>
      <c r="B31" s="13">
        <v>130</v>
      </c>
      <c r="C31" s="13">
        <v>222</v>
      </c>
      <c r="D31" s="13">
        <v>308</v>
      </c>
      <c r="E31" s="127">
        <v>660</v>
      </c>
    </row>
    <row r="32" spans="1:57">
      <c r="A32" s="153">
        <v>2018</v>
      </c>
      <c r="B32" s="13">
        <v>123</v>
      </c>
      <c r="C32" s="13">
        <v>214</v>
      </c>
      <c r="D32" s="13">
        <v>320</v>
      </c>
      <c r="E32" s="127">
        <v>657</v>
      </c>
    </row>
    <row r="33" spans="1:57">
      <c r="A33" s="153">
        <v>2019</v>
      </c>
      <c r="B33" s="13">
        <v>121</v>
      </c>
      <c r="C33" s="13">
        <v>211</v>
      </c>
      <c r="D33" s="13">
        <v>307</v>
      </c>
      <c r="E33" s="127">
        <v>639</v>
      </c>
    </row>
    <row r="34" spans="1:57">
      <c r="A34" s="153">
        <v>2020</v>
      </c>
      <c r="B34" s="13">
        <v>107</v>
      </c>
      <c r="C34" s="13">
        <v>194</v>
      </c>
      <c r="D34" s="13">
        <v>281</v>
      </c>
      <c r="E34" s="127">
        <v>582</v>
      </c>
    </row>
    <row r="35" spans="1:57">
      <c r="A35" s="153">
        <v>2021</v>
      </c>
      <c r="B35" s="13">
        <v>115</v>
      </c>
      <c r="C35" s="13">
        <v>198</v>
      </c>
      <c r="D35" s="13">
        <v>312</v>
      </c>
      <c r="E35" s="127">
        <v>625</v>
      </c>
      <c r="F35" s="46"/>
      <c r="G35" s="124"/>
      <c r="H35" s="124"/>
      <c r="I35" s="124"/>
      <c r="J35" s="124"/>
      <c r="K35" s="33"/>
      <c r="L35" s="39"/>
      <c r="M35" s="33"/>
      <c r="N35" s="39"/>
      <c r="O35" s="6"/>
      <c r="P35" s="39"/>
    </row>
    <row r="36" spans="1:57">
      <c r="A36" s="153">
        <v>2022</v>
      </c>
      <c r="B36" s="13">
        <v>109</v>
      </c>
      <c r="C36" s="13">
        <v>188</v>
      </c>
      <c r="D36" s="13">
        <v>332</v>
      </c>
      <c r="E36" s="127">
        <v>630</v>
      </c>
      <c r="F36" s="46"/>
      <c r="G36" s="124"/>
      <c r="H36" s="124"/>
      <c r="I36" s="124"/>
      <c r="J36" s="124"/>
      <c r="K36" s="6"/>
      <c r="L36" s="39"/>
      <c r="M36" s="6"/>
      <c r="N36" s="39"/>
      <c r="O36" s="6"/>
      <c r="P36" s="39"/>
    </row>
    <row r="37" spans="1:57">
      <c r="A37" s="153">
        <v>2023</v>
      </c>
      <c r="B37" s="13">
        <v>102</v>
      </c>
      <c r="C37" s="13">
        <v>184</v>
      </c>
      <c r="D37" s="13">
        <v>304</v>
      </c>
      <c r="E37" s="127">
        <v>590</v>
      </c>
      <c r="F37" s="46"/>
      <c r="G37" s="124"/>
      <c r="H37" s="124"/>
      <c r="I37" s="124"/>
      <c r="J37" s="124"/>
      <c r="L37" s="39"/>
      <c r="N37" s="39"/>
      <c r="P37" s="39"/>
    </row>
    <row r="38" spans="1:57">
      <c r="A38" s="154">
        <v>2024</v>
      </c>
      <c r="B38" s="13">
        <v>101</v>
      </c>
      <c r="C38" s="13">
        <v>177</v>
      </c>
      <c r="D38" s="13">
        <v>296</v>
      </c>
      <c r="E38" s="127">
        <v>575</v>
      </c>
      <c r="F38" s="46"/>
      <c r="G38" s="124"/>
      <c r="H38" s="124"/>
      <c r="I38" s="124"/>
      <c r="J38" s="124"/>
      <c r="L38" s="39"/>
      <c r="N38" s="39"/>
      <c r="P38" s="39"/>
    </row>
    <row r="39" spans="1:57">
      <c r="A39" s="155">
        <v>2025</v>
      </c>
      <c r="B39" s="128">
        <v>100</v>
      </c>
      <c r="C39" s="128">
        <v>175</v>
      </c>
      <c r="D39" s="128">
        <v>296</v>
      </c>
      <c r="E39" s="129">
        <v>571</v>
      </c>
      <c r="F39" s="46"/>
      <c r="G39" s="124"/>
      <c r="H39" s="124"/>
      <c r="I39" s="124"/>
      <c r="J39" s="124"/>
      <c r="L39" s="39"/>
      <c r="N39" s="39"/>
      <c r="P39" s="39"/>
    </row>
    <row r="40" spans="1:57" ht="40.049999999999997" customHeight="1">
      <c r="A40" s="207" t="s">
        <v>165</v>
      </c>
      <c r="B40" s="207"/>
      <c r="C40" s="207"/>
      <c r="D40" s="207"/>
      <c r="E40" s="207"/>
      <c r="F40" s="46"/>
      <c r="G40" s="124"/>
      <c r="H40" s="124"/>
      <c r="I40" s="124"/>
      <c r="J40" s="124"/>
      <c r="L40" s="39"/>
      <c r="N40" s="39"/>
      <c r="P40" s="39"/>
    </row>
    <row r="41" spans="1:57" s="2" customFormat="1" ht="55.05" customHeight="1">
      <c r="A41" s="208" t="s">
        <v>141</v>
      </c>
      <c r="B41" s="208"/>
      <c r="C41" s="208"/>
      <c r="D41" s="208"/>
      <c r="E41" s="208"/>
      <c r="F41" s="46"/>
      <c r="G41" s="124"/>
      <c r="H41" s="124"/>
      <c r="I41" s="124"/>
      <c r="J41" s="124"/>
      <c r="L41" s="39"/>
      <c r="N41" s="39"/>
      <c r="P41" s="39"/>
      <c r="AU41"/>
      <c r="AV41"/>
      <c r="AW41"/>
      <c r="AX41"/>
      <c r="AY41"/>
      <c r="AZ41"/>
      <c r="BA41"/>
      <c r="BB41"/>
      <c r="BC41"/>
      <c r="BD41"/>
      <c r="BE41"/>
    </row>
    <row r="42" spans="1:57" ht="15.6">
      <c r="A42" s="23" t="s">
        <v>64</v>
      </c>
      <c r="F42" s="46"/>
      <c r="G42" s="124"/>
      <c r="H42" s="124"/>
      <c r="I42" s="124"/>
      <c r="J42" s="124"/>
      <c r="L42" s="39"/>
      <c r="N42" s="39"/>
      <c r="P42" s="39"/>
    </row>
    <row r="43" spans="1:57" ht="27" customHeight="1">
      <c r="A43" s="209" t="s">
        <v>79</v>
      </c>
      <c r="B43" s="209"/>
      <c r="C43" s="209"/>
      <c r="D43" s="209"/>
      <c r="E43" s="209"/>
      <c r="F43" s="46"/>
      <c r="G43" s="124"/>
      <c r="H43" s="124"/>
      <c r="I43" s="124"/>
      <c r="J43" s="124"/>
      <c r="L43" s="39"/>
      <c r="N43" s="39"/>
      <c r="P43" s="39"/>
    </row>
    <row r="44" spans="1:57">
      <c r="F44" s="46"/>
      <c r="G44" s="124"/>
      <c r="H44" s="124"/>
      <c r="I44" s="124"/>
      <c r="J44" s="124"/>
      <c r="L44" s="39"/>
      <c r="N44" s="39"/>
      <c r="P44" s="39"/>
    </row>
    <row r="45" spans="1:57">
      <c r="F45" s="46"/>
      <c r="G45" s="124"/>
      <c r="H45" s="124"/>
      <c r="I45" s="124"/>
      <c r="J45" s="124"/>
      <c r="L45" s="39"/>
      <c r="N45" s="39"/>
      <c r="P45" s="39"/>
    </row>
    <row r="46" spans="1:57">
      <c r="F46" s="46"/>
      <c r="G46" s="124"/>
      <c r="H46" s="124"/>
      <c r="I46" s="124"/>
      <c r="J46" s="124"/>
      <c r="L46" s="39"/>
      <c r="N46" s="39"/>
      <c r="P46" s="39"/>
    </row>
    <row r="47" spans="1:57">
      <c r="F47" s="46"/>
      <c r="G47" s="124"/>
      <c r="H47" s="124"/>
      <c r="I47" s="124"/>
      <c r="J47" s="124"/>
      <c r="L47" s="39"/>
      <c r="N47" s="39"/>
      <c r="P47" s="39"/>
    </row>
    <row r="48" spans="1:57">
      <c r="F48" s="46"/>
      <c r="G48" s="124"/>
      <c r="H48" s="124"/>
      <c r="I48" s="124"/>
      <c r="J48" s="124"/>
      <c r="L48" s="39"/>
      <c r="N48" s="39"/>
      <c r="P48" s="39"/>
    </row>
    <row r="49" spans="6:16">
      <c r="F49" s="46"/>
      <c r="G49" s="124"/>
      <c r="H49" s="124"/>
      <c r="I49" s="124"/>
      <c r="J49" s="124"/>
      <c r="L49" s="39"/>
      <c r="N49" s="39"/>
      <c r="P49" s="39"/>
    </row>
    <row r="50" spans="6:16">
      <c r="F50" s="46"/>
      <c r="G50" s="124"/>
      <c r="H50" s="124"/>
      <c r="I50" s="124"/>
      <c r="J50" s="124"/>
      <c r="L50" s="39"/>
      <c r="N50" s="39"/>
      <c r="P50" s="39"/>
    </row>
    <row r="51" spans="6:16">
      <c r="F51" s="46"/>
      <c r="G51" s="124"/>
      <c r="H51" s="124"/>
      <c r="I51" s="124"/>
      <c r="J51" s="124"/>
      <c r="L51" s="39"/>
      <c r="N51" s="39"/>
      <c r="P51" s="39"/>
    </row>
    <row r="52" spans="6:16">
      <c r="F52" s="46"/>
      <c r="G52" s="124"/>
      <c r="H52" s="124"/>
      <c r="I52" s="124"/>
      <c r="J52" s="124"/>
      <c r="L52" s="39"/>
      <c r="N52" s="39"/>
      <c r="P52" s="39"/>
    </row>
    <row r="53" spans="6:16">
      <c r="F53" s="46"/>
      <c r="G53" s="124"/>
      <c r="H53" s="124"/>
      <c r="I53" s="124"/>
      <c r="J53" s="124"/>
      <c r="K53" s="119"/>
      <c r="L53" s="120"/>
      <c r="M53" s="119"/>
      <c r="N53" s="120"/>
      <c r="P53" s="39"/>
    </row>
    <row r="54" spans="6:16">
      <c r="F54" s="46"/>
      <c r="G54" s="124"/>
      <c r="H54" s="124"/>
      <c r="I54" s="124"/>
      <c r="J54" s="124"/>
      <c r="K54" s="119"/>
      <c r="L54" s="120"/>
      <c r="M54" s="119"/>
      <c r="N54" s="120"/>
      <c r="P54" s="39"/>
    </row>
    <row r="55" spans="6:16">
      <c r="F55" s="46"/>
      <c r="G55" s="124"/>
      <c r="H55" s="124"/>
      <c r="I55" s="124"/>
      <c r="J55" s="124"/>
      <c r="K55" s="119"/>
      <c r="L55" s="5"/>
      <c r="M55" s="119"/>
      <c r="N55" s="119"/>
    </row>
    <row r="56" spans="6:16">
      <c r="F56" s="46"/>
      <c r="G56" s="124"/>
      <c r="H56" s="124"/>
      <c r="I56" s="124"/>
      <c r="J56" s="124"/>
      <c r="K56" s="119"/>
      <c r="L56" s="5"/>
      <c r="M56" s="119"/>
      <c r="N56" s="119"/>
    </row>
    <row r="57" spans="6:16">
      <c r="F57" s="46"/>
      <c r="G57" s="124"/>
      <c r="H57" s="124"/>
      <c r="I57" s="124"/>
      <c r="J57" s="124"/>
      <c r="K57" s="119"/>
      <c r="L57" s="119"/>
      <c r="M57" s="119"/>
      <c r="N57" s="119"/>
    </row>
    <row r="58" spans="6:16">
      <c r="F58" s="46"/>
      <c r="G58" s="124"/>
      <c r="H58" s="124"/>
      <c r="I58" s="124"/>
      <c r="J58" s="124"/>
      <c r="K58" s="119"/>
      <c r="L58" s="119"/>
      <c r="M58" s="119"/>
      <c r="N58" s="119"/>
    </row>
    <row r="59" spans="6:16">
      <c r="F59" s="46"/>
      <c r="G59" s="124"/>
      <c r="H59" s="124"/>
      <c r="I59" s="124"/>
      <c r="J59" s="124"/>
      <c r="K59" s="119"/>
      <c r="L59" s="119"/>
      <c r="M59" s="119"/>
      <c r="N59" s="119"/>
    </row>
    <row r="60" spans="6:16">
      <c r="F60" s="46"/>
      <c r="G60" s="124"/>
      <c r="H60" s="124"/>
      <c r="I60" s="124"/>
      <c r="J60" s="124"/>
      <c r="K60" s="119"/>
      <c r="L60" s="119"/>
      <c r="M60" s="119"/>
      <c r="N60" s="119"/>
    </row>
    <row r="61" spans="6:16">
      <c r="F61" s="46"/>
      <c r="G61" s="124"/>
      <c r="H61" s="124"/>
      <c r="I61" s="124"/>
      <c r="J61" s="124"/>
      <c r="K61" s="119"/>
      <c r="L61" s="119"/>
      <c r="M61" s="119"/>
      <c r="N61" s="119"/>
    </row>
    <row r="62" spans="6:16">
      <c r="F62" s="46"/>
      <c r="G62" s="124"/>
      <c r="H62" s="124"/>
      <c r="I62" s="124"/>
      <c r="J62" s="124"/>
      <c r="K62" s="119"/>
      <c r="L62" s="119"/>
      <c r="M62" s="119"/>
      <c r="N62" s="119"/>
    </row>
    <row r="63" spans="6:16">
      <c r="F63" s="46"/>
      <c r="G63" s="124"/>
      <c r="H63" s="124"/>
      <c r="I63" s="124"/>
      <c r="J63" s="124"/>
      <c r="K63" s="119"/>
      <c r="L63" s="119"/>
      <c r="M63" s="119"/>
      <c r="N63" s="119"/>
    </row>
    <row r="64" spans="6:16">
      <c r="F64" s="46"/>
      <c r="G64" s="124"/>
      <c r="H64" s="124"/>
      <c r="I64" s="124"/>
      <c r="J64" s="124"/>
      <c r="K64" s="119"/>
      <c r="L64" s="119"/>
      <c r="M64" s="119"/>
      <c r="N64" s="119"/>
    </row>
    <row r="65" spans="6:14">
      <c r="F65" s="46"/>
      <c r="G65" s="124"/>
      <c r="H65" s="124"/>
      <c r="I65" s="124"/>
      <c r="J65" s="124"/>
      <c r="K65" s="119"/>
      <c r="L65" s="121"/>
      <c r="M65" s="119"/>
      <c r="N65" s="119"/>
    </row>
    <row r="66" spans="6:14">
      <c r="F66" s="46"/>
      <c r="G66" s="124"/>
      <c r="H66" s="124"/>
      <c r="I66" s="124"/>
      <c r="J66" s="124"/>
      <c r="K66" s="119"/>
      <c r="L66" s="119"/>
      <c r="M66" s="119"/>
      <c r="N66" s="119"/>
    </row>
    <row r="67" spans="6:14">
      <c r="F67" s="46"/>
      <c r="G67" s="124"/>
      <c r="H67" s="124"/>
      <c r="I67" s="124"/>
      <c r="J67" s="124"/>
      <c r="K67" s="119"/>
      <c r="L67" s="119"/>
      <c r="M67" s="119"/>
      <c r="N67" s="119"/>
    </row>
    <row r="68" spans="6:14">
      <c r="F68" s="46"/>
      <c r="G68" s="124"/>
      <c r="H68" s="124"/>
      <c r="I68" s="124"/>
      <c r="J68" s="124"/>
      <c r="K68" s="119"/>
      <c r="L68" s="119"/>
      <c r="M68" s="119"/>
      <c r="N68" s="119"/>
    </row>
    <row r="69" spans="6:14">
      <c r="F69" s="46"/>
      <c r="G69" s="124"/>
      <c r="H69" s="124"/>
      <c r="I69" s="124"/>
      <c r="J69" s="124"/>
      <c r="K69" s="119"/>
      <c r="L69" s="119"/>
      <c r="M69" s="119"/>
      <c r="N69" s="119"/>
    </row>
    <row r="70" spans="6:14">
      <c r="G70" s="124"/>
      <c r="H70" s="124"/>
      <c r="I70" s="124"/>
      <c r="J70" s="124"/>
      <c r="K70" s="119"/>
      <c r="L70" s="118"/>
      <c r="M70" s="119"/>
      <c r="N70" s="119"/>
    </row>
    <row r="71" spans="6:14">
      <c r="G71" s="119"/>
      <c r="H71" s="119"/>
      <c r="I71" s="119"/>
      <c r="J71" s="119"/>
      <c r="K71" s="119"/>
      <c r="L71" s="119"/>
      <c r="M71" s="119"/>
      <c r="N71" s="119"/>
    </row>
    <row r="72" spans="6:14">
      <c r="G72" s="119"/>
      <c r="H72" s="119"/>
      <c r="I72" s="119"/>
      <c r="J72" s="119"/>
      <c r="K72" s="119"/>
      <c r="L72" s="119"/>
      <c r="M72" s="119"/>
      <c r="N72" s="119"/>
    </row>
    <row r="73" spans="6:14">
      <c r="G73" s="119"/>
      <c r="H73" s="119"/>
      <c r="I73" s="119"/>
      <c r="J73" s="119"/>
      <c r="K73" s="119"/>
      <c r="L73" s="119"/>
      <c r="M73" s="119"/>
      <c r="N73" s="119"/>
    </row>
    <row r="74" spans="6:14">
      <c r="G74" s="119"/>
      <c r="H74" s="119"/>
      <c r="I74" s="119"/>
      <c r="J74" s="119"/>
      <c r="K74" s="119"/>
      <c r="L74" s="119"/>
      <c r="M74" s="119"/>
      <c r="N74" s="119"/>
    </row>
    <row r="75" spans="6:14">
      <c r="G75" s="119"/>
      <c r="H75" s="119"/>
      <c r="I75" s="119"/>
      <c r="J75" s="119"/>
      <c r="K75" s="119"/>
      <c r="L75" s="119"/>
      <c r="M75" s="119"/>
      <c r="N75" s="119"/>
    </row>
    <row r="111" spans="6:9" ht="14.4" customHeight="1">
      <c r="F111" s="165"/>
      <c r="G111" s="165"/>
      <c r="H111" s="165"/>
      <c r="I111" s="165"/>
    </row>
    <row r="112" spans="6:9" ht="14.4" customHeight="1">
      <c r="F112" s="166"/>
      <c r="G112" s="166"/>
      <c r="H112" s="166"/>
      <c r="I112" s="166"/>
    </row>
  </sheetData>
  <mergeCells count="3">
    <mergeCell ref="A40:E40"/>
    <mergeCell ref="A41:E41"/>
    <mergeCell ref="A43:E43"/>
  </mergeCells>
  <pageMargins left="0.70866141732283472" right="0.70866141732283472" top="0.74803149606299213" bottom="0.74803149606299213" header="0.31496062992125984" footer="0.31496062992125984"/>
  <pageSetup paperSize="9" scale="88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C772-BB88-487E-90E3-F4D4BCB4A8F7}">
  <sheetPr>
    <pageSetUpPr fitToPage="1"/>
  </sheetPr>
  <dimension ref="A1:V74"/>
  <sheetViews>
    <sheetView zoomScaleNormal="100" workbookViewId="0"/>
  </sheetViews>
  <sheetFormatPr baseColWidth="10" defaultColWidth="11.44140625" defaultRowHeight="13.2"/>
  <cols>
    <col min="1" max="1" width="15" style="2" customWidth="1"/>
    <col min="2" max="4" width="12.88671875" style="2" customWidth="1"/>
    <col min="5" max="5" width="15.33203125" style="2" customWidth="1"/>
    <col min="6" max="17" width="10.6640625" style="2" customWidth="1"/>
    <col min="18" max="18" width="19.109375" style="2" customWidth="1"/>
    <col min="19" max="19" width="6.109375" style="2" customWidth="1"/>
    <col min="20" max="43" width="11.5546875" style="2" customWidth="1"/>
    <col min="44" max="16384" width="11.44140625" style="2"/>
  </cols>
  <sheetData>
    <row r="1" spans="1:22">
      <c r="A1" s="44" t="s">
        <v>161</v>
      </c>
      <c r="G1" s="6"/>
      <c r="H1" s="6"/>
      <c r="I1" s="6"/>
      <c r="J1" s="6"/>
      <c r="K1" s="6"/>
      <c r="L1" s="6"/>
      <c r="M1" s="6"/>
      <c r="N1" s="112"/>
      <c r="O1" s="52"/>
      <c r="P1" s="52"/>
      <c r="Q1" s="52"/>
      <c r="R1" s="52"/>
      <c r="S1" s="52"/>
      <c r="T1" s="52"/>
      <c r="U1" s="52"/>
      <c r="V1" s="52"/>
    </row>
    <row r="2" spans="1:22" s="6" customFormat="1" ht="15.6">
      <c r="A2" s="2"/>
      <c r="B2" s="38"/>
      <c r="C2" s="38"/>
      <c r="D2" s="38"/>
      <c r="E2" s="30" t="s">
        <v>37</v>
      </c>
      <c r="N2" s="112"/>
      <c r="O2" s="52"/>
      <c r="P2" s="112"/>
      <c r="Q2" s="112"/>
      <c r="R2" s="112"/>
      <c r="S2" s="112"/>
      <c r="T2" s="52"/>
      <c r="U2" s="52"/>
      <c r="V2" s="52"/>
    </row>
    <row r="3" spans="1:22" s="28" customFormat="1" ht="26.4">
      <c r="A3" s="156" t="s">
        <v>142</v>
      </c>
      <c r="B3" s="133" t="s">
        <v>22</v>
      </c>
      <c r="C3" s="133" t="s">
        <v>23</v>
      </c>
      <c r="D3" s="133" t="s">
        <v>24</v>
      </c>
      <c r="E3" s="134" t="s">
        <v>36</v>
      </c>
      <c r="F3" s="20"/>
      <c r="G3" s="20"/>
      <c r="H3" s="20"/>
      <c r="I3" s="20"/>
      <c r="J3" s="20"/>
      <c r="K3" s="20"/>
      <c r="L3" s="20"/>
      <c r="M3" s="20"/>
      <c r="N3" s="113"/>
      <c r="O3" s="113"/>
      <c r="P3" s="113"/>
      <c r="Q3" s="113"/>
      <c r="R3" s="113"/>
      <c r="S3" s="114"/>
      <c r="T3" s="115"/>
      <c r="U3" s="115"/>
      <c r="V3" s="115"/>
    </row>
    <row r="4" spans="1:22" s="9" customFormat="1">
      <c r="A4" s="154">
        <v>2010</v>
      </c>
      <c r="B4" s="13">
        <v>183</v>
      </c>
      <c r="C4" s="13">
        <v>928</v>
      </c>
      <c r="D4" s="13">
        <v>572</v>
      </c>
      <c r="E4" s="135">
        <v>277</v>
      </c>
      <c r="F4" s="13"/>
      <c r="G4" s="13"/>
      <c r="H4" s="13"/>
      <c r="I4" s="13"/>
      <c r="J4" s="13"/>
      <c r="K4" s="13"/>
      <c r="L4" s="13"/>
      <c r="M4" s="13"/>
      <c r="N4" s="116"/>
      <c r="O4" s="116"/>
      <c r="P4" s="116"/>
      <c r="Q4" s="116"/>
      <c r="R4" s="116"/>
      <c r="S4" s="116"/>
      <c r="T4" s="115"/>
      <c r="U4" s="115"/>
      <c r="V4" s="115"/>
    </row>
    <row r="5" spans="1:22" s="9" customFormat="1">
      <c r="A5" s="154">
        <v>2011</v>
      </c>
      <c r="B5" s="13">
        <v>170</v>
      </c>
      <c r="C5" s="13">
        <v>922</v>
      </c>
      <c r="D5" s="13">
        <v>557</v>
      </c>
      <c r="E5" s="135">
        <v>269</v>
      </c>
      <c r="F5" s="13"/>
      <c r="G5" s="13"/>
      <c r="H5" s="13"/>
      <c r="I5" s="13"/>
      <c r="J5" s="13"/>
      <c r="K5" s="13"/>
      <c r="L5" s="13"/>
      <c r="M5" s="13"/>
      <c r="N5" s="116"/>
      <c r="O5" s="116"/>
      <c r="P5" s="116"/>
      <c r="Q5" s="117"/>
      <c r="R5" s="116"/>
      <c r="S5" s="116"/>
      <c r="T5" s="115"/>
      <c r="U5" s="115"/>
      <c r="V5" s="115"/>
    </row>
    <row r="6" spans="1:22" s="9" customFormat="1">
      <c r="A6" s="154">
        <v>2012</v>
      </c>
      <c r="B6" s="9">
        <v>169</v>
      </c>
      <c r="C6" s="9">
        <v>859</v>
      </c>
      <c r="D6" s="9">
        <v>524</v>
      </c>
      <c r="E6" s="136">
        <v>259</v>
      </c>
      <c r="F6" s="13"/>
      <c r="G6" s="13"/>
      <c r="H6" s="13"/>
      <c r="I6" s="13"/>
      <c r="J6" s="13"/>
      <c r="K6" s="13"/>
      <c r="L6" s="13"/>
      <c r="M6" s="13"/>
      <c r="N6" s="116"/>
      <c r="O6" s="116"/>
      <c r="P6" s="116"/>
      <c r="Q6" s="116"/>
      <c r="R6" s="116"/>
      <c r="S6" s="116"/>
      <c r="T6" s="115"/>
      <c r="U6" s="115"/>
      <c r="V6" s="115"/>
    </row>
    <row r="7" spans="1:22" s="9" customFormat="1">
      <c r="A7" s="154">
        <v>2013</v>
      </c>
      <c r="B7" s="9">
        <v>166</v>
      </c>
      <c r="C7" s="9">
        <v>816</v>
      </c>
      <c r="D7" s="9">
        <v>498</v>
      </c>
      <c r="E7" s="136">
        <v>253</v>
      </c>
      <c r="F7" s="13"/>
      <c r="G7" s="13"/>
      <c r="H7" s="13"/>
      <c r="I7" s="195"/>
      <c r="J7" s="13"/>
      <c r="K7" s="13"/>
      <c r="L7" s="13"/>
      <c r="M7" s="13"/>
      <c r="N7" s="116"/>
      <c r="O7" s="116"/>
      <c r="P7" s="116"/>
      <c r="Q7" s="116"/>
      <c r="R7" s="116"/>
      <c r="S7" s="116"/>
      <c r="T7" s="115"/>
      <c r="U7" s="115"/>
      <c r="V7" s="115"/>
    </row>
    <row r="8" spans="1:22" s="9" customFormat="1">
      <c r="A8" s="154">
        <v>2014</v>
      </c>
      <c r="B8" s="9">
        <v>156</v>
      </c>
      <c r="C8" s="9">
        <v>765</v>
      </c>
      <c r="D8" s="9">
        <v>469</v>
      </c>
      <c r="E8" s="136">
        <v>240</v>
      </c>
      <c r="F8" s="13"/>
      <c r="G8" s="13"/>
      <c r="H8" s="13"/>
      <c r="I8" s="195"/>
      <c r="J8" s="13"/>
      <c r="K8" s="13"/>
      <c r="L8" s="13"/>
      <c r="M8" s="13"/>
      <c r="N8" s="116"/>
      <c r="O8" s="116"/>
      <c r="P8" s="116"/>
      <c r="Q8" s="116"/>
      <c r="R8" s="116"/>
      <c r="S8" s="116"/>
      <c r="T8" s="115"/>
      <c r="U8" s="115"/>
      <c r="V8" s="115"/>
    </row>
    <row r="9" spans="1:22" s="9" customFormat="1">
      <c r="A9" s="154">
        <v>2015</v>
      </c>
      <c r="B9" s="9">
        <v>154</v>
      </c>
      <c r="C9" s="9">
        <v>660</v>
      </c>
      <c r="D9" s="9">
        <v>429</v>
      </c>
      <c r="E9" s="136">
        <v>223</v>
      </c>
      <c r="F9" s="13"/>
      <c r="G9" s="13"/>
      <c r="H9" s="13"/>
      <c r="I9" s="195"/>
      <c r="J9" s="13"/>
      <c r="K9" s="13"/>
      <c r="L9" s="13"/>
      <c r="M9" s="13"/>
      <c r="N9" s="116"/>
      <c r="O9" s="116"/>
      <c r="P9" s="116"/>
      <c r="Q9" s="116"/>
      <c r="R9" s="116"/>
      <c r="S9" s="116"/>
      <c r="T9" s="115"/>
      <c r="U9" s="115"/>
      <c r="V9" s="115"/>
    </row>
    <row r="10" spans="1:22" s="9" customFormat="1">
      <c r="A10" s="154">
        <v>2016</v>
      </c>
      <c r="B10" s="9">
        <v>152</v>
      </c>
      <c r="C10" s="9">
        <v>627</v>
      </c>
      <c r="D10" s="9">
        <v>412</v>
      </c>
      <c r="E10" s="136">
        <v>219</v>
      </c>
      <c r="F10" s="13"/>
      <c r="G10" s="13"/>
      <c r="H10" s="13"/>
      <c r="I10" s="195"/>
      <c r="J10" s="13"/>
      <c r="K10" s="13"/>
      <c r="L10" s="13"/>
      <c r="M10" s="13"/>
      <c r="N10" s="116"/>
      <c r="O10" s="116"/>
      <c r="P10" s="116"/>
      <c r="Q10" s="116"/>
      <c r="R10" s="116"/>
      <c r="S10" s="116"/>
      <c r="T10" s="115"/>
      <c r="U10" s="115"/>
      <c r="V10" s="115"/>
    </row>
    <row r="11" spans="1:22" s="9" customFormat="1">
      <c r="A11" s="154">
        <v>2017</v>
      </c>
      <c r="B11" s="9">
        <v>153</v>
      </c>
      <c r="C11" s="9">
        <v>625</v>
      </c>
      <c r="D11" s="9">
        <v>420</v>
      </c>
      <c r="E11" s="136">
        <v>219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21"/>
      <c r="R11" s="13"/>
      <c r="S11" s="13"/>
    </row>
    <row r="12" spans="1:22" s="9" customFormat="1">
      <c r="A12" s="154">
        <v>2018</v>
      </c>
      <c r="B12" s="9">
        <v>146</v>
      </c>
      <c r="C12" s="9">
        <v>632</v>
      </c>
      <c r="D12" s="9">
        <v>412</v>
      </c>
      <c r="E12" s="136">
        <v>217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22">
      <c r="A13" s="154">
        <v>2019</v>
      </c>
      <c r="B13" s="9">
        <v>140</v>
      </c>
      <c r="C13" s="9">
        <v>593</v>
      </c>
      <c r="D13" s="9">
        <v>387</v>
      </c>
      <c r="E13" s="136">
        <v>206</v>
      </c>
      <c r="F13" s="18"/>
      <c r="G13" s="18"/>
      <c r="H13" s="18"/>
      <c r="I13" s="18"/>
      <c r="J13" s="18"/>
      <c r="K13" s="18"/>
      <c r="L13" s="18"/>
      <c r="M13" s="19"/>
      <c r="N13" s="19"/>
      <c r="O13" s="19"/>
      <c r="P13" s="19"/>
      <c r="Q13" s="19"/>
      <c r="R13" s="19"/>
      <c r="S13" s="19"/>
    </row>
    <row r="14" spans="1:22">
      <c r="A14" s="154">
        <v>2020</v>
      </c>
      <c r="B14" s="9">
        <v>137</v>
      </c>
      <c r="C14" s="9">
        <v>597</v>
      </c>
      <c r="D14" s="9">
        <v>394</v>
      </c>
      <c r="E14" s="136">
        <v>202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</row>
    <row r="15" spans="1:22">
      <c r="A15" s="154">
        <v>2021</v>
      </c>
      <c r="B15" s="9">
        <v>135</v>
      </c>
      <c r="C15" s="9">
        <v>632</v>
      </c>
      <c r="D15" s="9">
        <v>415</v>
      </c>
      <c r="E15" s="136">
        <v>204</v>
      </c>
    </row>
    <row r="16" spans="1:22">
      <c r="A16" s="154">
        <v>2022</v>
      </c>
      <c r="B16" s="9">
        <v>129</v>
      </c>
      <c r="C16" s="9">
        <v>630</v>
      </c>
      <c r="D16" s="9">
        <v>411</v>
      </c>
      <c r="E16" s="136">
        <v>203</v>
      </c>
    </row>
    <row r="17" spans="1:20">
      <c r="A17" s="154">
        <v>2023</v>
      </c>
      <c r="B17" s="9">
        <v>119</v>
      </c>
      <c r="C17" s="9">
        <v>570</v>
      </c>
      <c r="D17" s="9">
        <v>354</v>
      </c>
      <c r="E17" s="136">
        <v>189</v>
      </c>
    </row>
    <row r="18" spans="1:20">
      <c r="A18" s="154">
        <v>2024</v>
      </c>
      <c r="B18" s="9">
        <v>116</v>
      </c>
      <c r="C18" s="9">
        <v>556</v>
      </c>
      <c r="D18" s="9">
        <v>338</v>
      </c>
      <c r="E18" s="136">
        <v>183</v>
      </c>
    </row>
    <row r="19" spans="1:20">
      <c r="A19" s="157">
        <v>2025</v>
      </c>
      <c r="B19" s="137">
        <v>113</v>
      </c>
      <c r="C19" s="137">
        <v>538</v>
      </c>
      <c r="D19" s="137">
        <v>324</v>
      </c>
      <c r="E19" s="138">
        <v>180</v>
      </c>
    </row>
    <row r="20" spans="1:20">
      <c r="A20" s="3" t="s">
        <v>157</v>
      </c>
      <c r="K20" s="52"/>
    </row>
    <row r="21" spans="1:20" ht="15.6">
      <c r="A21" s="3" t="s">
        <v>162</v>
      </c>
      <c r="J21" s="33"/>
      <c r="K21" s="33"/>
      <c r="L21" s="6"/>
      <c r="M21" s="6"/>
    </row>
    <row r="22" spans="1:20" ht="15.6">
      <c r="A22" s="23" t="s">
        <v>65</v>
      </c>
      <c r="J22" s="32"/>
      <c r="K22" s="32"/>
    </row>
    <row r="23" spans="1:20">
      <c r="A23" s="3" t="s">
        <v>79</v>
      </c>
    </row>
    <row r="24" spans="1:20"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20"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1:20"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1:20">
      <c r="F29" s="38"/>
      <c r="G29" s="38"/>
      <c r="H29" s="38"/>
      <c r="I29" s="38"/>
      <c r="J29" s="38"/>
      <c r="K29" s="38"/>
      <c r="L29" s="38"/>
      <c r="M29" s="38"/>
      <c r="N29" s="38"/>
      <c r="O29" s="38"/>
    </row>
    <row r="30" spans="1:20">
      <c r="H30" s="38"/>
      <c r="I30" s="38"/>
      <c r="J30" s="38"/>
      <c r="K30" s="38"/>
    </row>
    <row r="31" spans="1:20">
      <c r="H31" s="38"/>
      <c r="I31" s="38"/>
      <c r="J31" s="38"/>
      <c r="K31" s="38"/>
    </row>
    <row r="44" spans="3:5">
      <c r="C44" s="163"/>
      <c r="D44" s="163"/>
      <c r="E44" s="163"/>
    </row>
    <row r="64" spans="15:15">
      <c r="O64" s="17" t="s">
        <v>21</v>
      </c>
    </row>
    <row r="65" spans="1:15">
      <c r="A65" s="2" t="s">
        <v>34</v>
      </c>
      <c r="B65" s="2" t="s">
        <v>11</v>
      </c>
      <c r="C65" s="2" t="s">
        <v>12</v>
      </c>
      <c r="D65" s="2" t="s">
        <v>13</v>
      </c>
      <c r="E65" s="2" t="s">
        <v>14</v>
      </c>
      <c r="F65" s="2" t="s">
        <v>15</v>
      </c>
      <c r="G65" s="2" t="s">
        <v>16</v>
      </c>
      <c r="H65" s="2" t="s">
        <v>17</v>
      </c>
      <c r="I65" s="2" t="s">
        <v>18</v>
      </c>
      <c r="J65" s="2" t="s">
        <v>19</v>
      </c>
      <c r="K65" s="2" t="s">
        <v>8</v>
      </c>
      <c r="L65" s="2" t="s">
        <v>9</v>
      </c>
      <c r="M65" s="2" t="s">
        <v>10</v>
      </c>
      <c r="N65" s="2" t="s">
        <v>25</v>
      </c>
      <c r="O65" s="2" t="s">
        <v>32</v>
      </c>
    </row>
    <row r="66" spans="1:15">
      <c r="A66" s="2" t="s">
        <v>20</v>
      </c>
      <c r="B66" s="2">
        <v>243.93849710992646</v>
      </c>
      <c r="C66" s="2">
        <v>227.2435365358233</v>
      </c>
      <c r="D66" s="2">
        <v>227.59673782719963</v>
      </c>
      <c r="E66" s="2">
        <v>224.41337476949278</v>
      </c>
      <c r="F66" s="2">
        <v>207.40276947442666</v>
      </c>
      <c r="G66" s="2">
        <v>206.35802302055748</v>
      </c>
      <c r="H66" s="2">
        <v>204.78776657180265</v>
      </c>
      <c r="I66" s="2">
        <v>203.71848742421778</v>
      </c>
      <c r="J66" s="2">
        <v>193.49831111817136</v>
      </c>
      <c r="K66" s="2">
        <v>185.23403220012983</v>
      </c>
      <c r="L66" s="2">
        <v>179.35443533138672</v>
      </c>
      <c r="M66" s="2">
        <v>177.6070825185316</v>
      </c>
      <c r="N66" s="2">
        <v>168.12334032136593</v>
      </c>
      <c r="O66" s="2">
        <v>157.23713164975575</v>
      </c>
    </row>
    <row r="67" spans="1:15">
      <c r="A67" s="2" t="s">
        <v>35</v>
      </c>
      <c r="B67" s="2">
        <v>181.9915319539781</v>
      </c>
      <c r="C67" s="2">
        <v>170.06017664997265</v>
      </c>
      <c r="D67" s="2">
        <v>168.82022985536463</v>
      </c>
      <c r="E67" s="2">
        <v>165.46876380237055</v>
      </c>
      <c r="F67" s="2">
        <v>154.39948764400233</v>
      </c>
      <c r="G67" s="2">
        <v>152.63906996963564</v>
      </c>
      <c r="H67" s="2">
        <v>150.93996286668727</v>
      </c>
      <c r="I67" s="2">
        <v>151.96965099908127</v>
      </c>
      <c r="J67" s="2">
        <v>145.10102211021885</v>
      </c>
      <c r="K67" s="2">
        <v>138.81488564603714</v>
      </c>
      <c r="L67" s="2">
        <v>134.78557089116472</v>
      </c>
      <c r="M67" s="2">
        <v>132.97091091505365</v>
      </c>
      <c r="N67" s="2">
        <v>126.78713666811805</v>
      </c>
      <c r="O67" s="2">
        <v>117.7689040515631</v>
      </c>
    </row>
    <row r="68" spans="1:15">
      <c r="A68" s="2" t="s">
        <v>26</v>
      </c>
      <c r="B68" s="2">
        <v>981.52670486208604</v>
      </c>
      <c r="C68" s="2">
        <v>1011.3896279190913</v>
      </c>
      <c r="D68" s="2">
        <v>896.73104188968637</v>
      </c>
      <c r="E68" s="2">
        <v>853.96627294812629</v>
      </c>
      <c r="F68" s="2">
        <v>809.24415685205372</v>
      </c>
      <c r="G68" s="2">
        <v>701.94342155016489</v>
      </c>
      <c r="H68" s="2">
        <v>649.46576283059983</v>
      </c>
      <c r="I68" s="2">
        <v>660.06105243516538</v>
      </c>
      <c r="J68" s="2">
        <v>666.30573410334944</v>
      </c>
      <c r="K68" s="2">
        <v>648.11690245802754</v>
      </c>
      <c r="L68" s="2">
        <v>633.40747736952346</v>
      </c>
      <c r="M68" s="2">
        <v>672.61504320710662</v>
      </c>
      <c r="N68" s="2">
        <v>660.07553938778119</v>
      </c>
      <c r="O68" s="2">
        <v>618.08365902988487</v>
      </c>
    </row>
    <row r="69" spans="1:15">
      <c r="A69" s="2" t="s">
        <v>27</v>
      </c>
      <c r="B69" s="2">
        <v>702.81615891669503</v>
      </c>
      <c r="C69" s="2">
        <v>717.99832958153138</v>
      </c>
      <c r="D69" s="2">
        <v>634.03192019925984</v>
      </c>
      <c r="E69" s="2">
        <v>607.87864010729436</v>
      </c>
      <c r="F69" s="2">
        <v>576.39292329090756</v>
      </c>
      <c r="G69" s="2">
        <v>503.95293409893395</v>
      </c>
      <c r="H69" s="2">
        <v>468.60024173800616</v>
      </c>
      <c r="I69" s="2">
        <v>470.85883628149998</v>
      </c>
      <c r="J69" s="2">
        <v>473.51959844335232</v>
      </c>
      <c r="K69" s="2">
        <v>459.12837782816592</v>
      </c>
      <c r="L69" s="2">
        <v>466.08458701451269</v>
      </c>
      <c r="M69" s="2">
        <v>477.73150931391626</v>
      </c>
      <c r="N69" s="2">
        <v>463.14216693473804</v>
      </c>
      <c r="O69" s="2">
        <v>436.29981401309675</v>
      </c>
    </row>
    <row r="70" spans="1:15">
      <c r="A70" s="2" t="s">
        <v>28</v>
      </c>
      <c r="B70" s="2">
        <v>538.27894660981872</v>
      </c>
      <c r="C70" s="2">
        <v>535.78029941628733</v>
      </c>
      <c r="D70" s="2">
        <v>489.81601125977971</v>
      </c>
      <c r="E70" s="2">
        <v>465.334266436615</v>
      </c>
      <c r="F70" s="2">
        <v>440.87423400555622</v>
      </c>
      <c r="G70" s="2">
        <v>399.73316676520159</v>
      </c>
      <c r="H70" s="2">
        <v>376.15019971230743</v>
      </c>
      <c r="I70" s="2">
        <v>384.97012471242249</v>
      </c>
      <c r="J70" s="2">
        <v>377.52964262109043</v>
      </c>
      <c r="K70" s="2">
        <v>366.58550894447797</v>
      </c>
      <c r="L70" s="2">
        <v>363.27523199299037</v>
      </c>
      <c r="M70" s="2">
        <v>387.31796020036467</v>
      </c>
      <c r="N70" s="2">
        <v>378.88427012799724</v>
      </c>
      <c r="O70" s="2">
        <v>334.75724608341642</v>
      </c>
    </row>
    <row r="71" spans="1:15">
      <c r="A71" s="2" t="s">
        <v>29</v>
      </c>
      <c r="B71" s="2">
        <v>259.86413797688567</v>
      </c>
      <c r="C71" s="2">
        <v>244.50870985220226</v>
      </c>
      <c r="D71" s="2">
        <v>234.88255680306088</v>
      </c>
      <c r="E71" s="2">
        <v>226.18659860678565</v>
      </c>
      <c r="F71" s="2">
        <v>211.23976943785118</v>
      </c>
      <c r="G71" s="2">
        <v>202.06057824696282</v>
      </c>
      <c r="H71" s="2">
        <v>192.58910005899</v>
      </c>
      <c r="I71" s="2">
        <v>192.86110686440423</v>
      </c>
      <c r="J71" s="2">
        <v>182.92612508520637</v>
      </c>
      <c r="K71" s="2">
        <v>176.08140131127379</v>
      </c>
      <c r="L71" s="2">
        <v>185.84844820982201</v>
      </c>
      <c r="M71" s="2">
        <v>186.35032709796505</v>
      </c>
      <c r="N71" s="2">
        <v>174.71175976979154</v>
      </c>
      <c r="O71" s="2">
        <v>149.52470456135788</v>
      </c>
    </row>
    <row r="72" spans="1:15">
      <c r="A72" s="2" t="s">
        <v>31</v>
      </c>
      <c r="B72" s="2">
        <v>104.90008735582418</v>
      </c>
      <c r="C72" s="2">
        <v>98.269948267130417</v>
      </c>
      <c r="D72" s="2">
        <v>97.915762407702218</v>
      </c>
      <c r="E72" s="2">
        <v>96.298683750553309</v>
      </c>
      <c r="F72" s="2">
        <v>89.628921442400596</v>
      </c>
      <c r="G72" s="2">
        <v>88.264367548868094</v>
      </c>
      <c r="H72" s="2">
        <v>86.968438714041042</v>
      </c>
      <c r="I72" s="2">
        <v>86.597225350127445</v>
      </c>
      <c r="J72" s="2">
        <v>82.377518578909985</v>
      </c>
      <c r="K72" s="2">
        <v>78.72086602248126</v>
      </c>
      <c r="L72" s="2">
        <v>76.679582646674731</v>
      </c>
      <c r="M72" s="2">
        <v>75.093547033895675</v>
      </c>
      <c r="N72" s="2">
        <v>70.562752593599697</v>
      </c>
      <c r="O72" s="2">
        <v>65.16254558024886</v>
      </c>
    </row>
    <row r="73" spans="1:15">
      <c r="A73" s="2" t="s">
        <v>30</v>
      </c>
      <c r="B73" s="2">
        <v>298.82050231068507</v>
      </c>
      <c r="C73" s="2">
        <v>299.08362970568948</v>
      </c>
      <c r="D73" s="2">
        <v>278.16436042450039</v>
      </c>
      <c r="E73" s="2">
        <v>271.98927603408976</v>
      </c>
      <c r="F73" s="2">
        <v>259.22757626730072</v>
      </c>
      <c r="G73" s="2">
        <v>243.08875384037438</v>
      </c>
      <c r="H73" s="2">
        <v>235.75943984225131</v>
      </c>
      <c r="I73" s="2">
        <v>239.36629358514838</v>
      </c>
      <c r="J73" s="2">
        <v>237.89238967911618</v>
      </c>
      <c r="K73" s="2">
        <v>229.14446375710196</v>
      </c>
      <c r="L73" s="2">
        <v>219.0728118866092</v>
      </c>
      <c r="M73" s="2">
        <v>222.01513639385564</v>
      </c>
      <c r="N73" s="2">
        <v>220.05809214188858</v>
      </c>
      <c r="O73" s="2">
        <v>210.28596749811544</v>
      </c>
    </row>
    <row r="74" spans="1:15">
      <c r="A74" s="2" t="s">
        <v>33</v>
      </c>
      <c r="B74" s="2">
        <v>360.92178686590739</v>
      </c>
      <c r="C74" s="2">
        <v>356.49318840240727</v>
      </c>
      <c r="D74" s="2">
        <v>337.57045485395037</v>
      </c>
      <c r="E74" s="2">
        <v>331.52883956188413</v>
      </c>
      <c r="F74" s="2">
        <v>312.51101600655164</v>
      </c>
      <c r="G74" s="2">
        <v>296.86352006739844</v>
      </c>
      <c r="H74" s="2">
        <v>289.37719772333475</v>
      </c>
      <c r="I74" s="2">
        <v>290.88243215819858</v>
      </c>
      <c r="J74" s="2">
        <v>286.15891446529145</v>
      </c>
      <c r="K74" s="2">
        <v>275.4596527016019</v>
      </c>
      <c r="L74" s="2">
        <v>262.88613955111231</v>
      </c>
      <c r="M74" s="2">
        <v>266.24063213196774</v>
      </c>
      <c r="N74" s="2">
        <v>260.91263207723267</v>
      </c>
      <c r="O74" s="2">
        <v>249.542609448311</v>
      </c>
    </row>
  </sheetData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65F0-5538-4C5D-A71C-49FDCD4D4675}">
  <sheetPr>
    <pageSetUpPr fitToPage="1"/>
  </sheetPr>
  <dimension ref="A1:E25"/>
  <sheetViews>
    <sheetView workbookViewId="0"/>
  </sheetViews>
  <sheetFormatPr baseColWidth="10" defaultColWidth="11.44140625" defaultRowHeight="13.2"/>
  <cols>
    <col min="1" max="1" width="95.5546875" style="2" customWidth="1"/>
    <col min="2" max="2" width="20.88671875" style="2" customWidth="1"/>
    <col min="3" max="3" width="20.33203125" style="2" customWidth="1"/>
    <col min="4" max="4" width="18.44140625" style="2" customWidth="1"/>
    <col min="5" max="16384" width="11.44140625" style="2"/>
  </cols>
  <sheetData>
    <row r="1" spans="1:3">
      <c r="A1" s="69" t="s">
        <v>136</v>
      </c>
    </row>
    <row r="3" spans="1:3">
      <c r="A3" s="210" t="s">
        <v>82</v>
      </c>
      <c r="B3" s="196" t="s">
        <v>160</v>
      </c>
      <c r="C3" s="104" t="s">
        <v>151</v>
      </c>
    </row>
    <row r="4" spans="1:3" ht="15.6">
      <c r="A4" s="211"/>
      <c r="B4" s="197" t="s">
        <v>159</v>
      </c>
      <c r="C4" s="198" t="s">
        <v>152</v>
      </c>
    </row>
    <row r="5" spans="1:3" s="3" customFormat="1">
      <c r="A5" s="142" t="s">
        <v>63</v>
      </c>
      <c r="B5" s="140">
        <v>298</v>
      </c>
      <c r="C5" s="143">
        <v>-1.8</v>
      </c>
    </row>
    <row r="6" spans="1:3">
      <c r="A6" s="70" t="s">
        <v>83</v>
      </c>
      <c r="B6" s="141">
        <v>79</v>
      </c>
      <c r="C6" s="144">
        <v>-1.3</v>
      </c>
    </row>
    <row r="7" spans="1:3">
      <c r="A7" s="70" t="s">
        <v>84</v>
      </c>
      <c r="B7" s="141">
        <v>0</v>
      </c>
      <c r="C7" s="144">
        <v>3.3</v>
      </c>
    </row>
    <row r="8" spans="1:3">
      <c r="A8" s="70" t="s">
        <v>85</v>
      </c>
      <c r="B8" s="141">
        <v>7</v>
      </c>
      <c r="C8" s="144">
        <v>-3.8</v>
      </c>
    </row>
    <row r="9" spans="1:3">
      <c r="A9" s="70" t="s">
        <v>86</v>
      </c>
      <c r="B9" s="141">
        <v>9</v>
      </c>
      <c r="C9" s="144">
        <v>3.4</v>
      </c>
    </row>
    <row r="10" spans="1:3">
      <c r="A10" s="70" t="s">
        <v>87</v>
      </c>
      <c r="B10" s="141">
        <v>13</v>
      </c>
      <c r="C10" s="144">
        <v>-9.6999999999999993</v>
      </c>
    </row>
    <row r="11" spans="1:3">
      <c r="A11" s="70" t="s">
        <v>88</v>
      </c>
      <c r="B11" s="141">
        <v>15</v>
      </c>
      <c r="C11" s="144">
        <v>-2.8</v>
      </c>
    </row>
    <row r="12" spans="1:3">
      <c r="A12" s="70" t="s">
        <v>89</v>
      </c>
      <c r="B12" s="141">
        <v>13</v>
      </c>
      <c r="C12" s="144">
        <v>-6.5</v>
      </c>
    </row>
    <row r="13" spans="1:3">
      <c r="A13" s="70" t="s">
        <v>90</v>
      </c>
      <c r="B13" s="141">
        <v>6</v>
      </c>
      <c r="C13" s="144">
        <v>-2.8</v>
      </c>
    </row>
    <row r="14" spans="1:3">
      <c r="A14" s="70" t="s">
        <v>91</v>
      </c>
      <c r="B14" s="141">
        <v>15</v>
      </c>
      <c r="C14" s="144">
        <v>-0.7</v>
      </c>
    </row>
    <row r="15" spans="1:3">
      <c r="A15" s="70" t="s">
        <v>92</v>
      </c>
      <c r="B15" s="141">
        <v>26</v>
      </c>
      <c r="C15" s="144">
        <v>-0.5</v>
      </c>
    </row>
    <row r="16" spans="1:3">
      <c r="A16" s="70" t="s">
        <v>93</v>
      </c>
      <c r="B16" s="141">
        <v>9</v>
      </c>
      <c r="C16" s="144">
        <v>-2.2000000000000002</v>
      </c>
    </row>
    <row r="17" spans="1:5">
      <c r="A17" s="70" t="s">
        <v>94</v>
      </c>
      <c r="B17" s="141">
        <v>10</v>
      </c>
      <c r="C17" s="144">
        <v>-4.3</v>
      </c>
    </row>
    <row r="18" spans="1:5">
      <c r="A18" s="70" t="s">
        <v>95</v>
      </c>
      <c r="B18" s="141">
        <v>66</v>
      </c>
      <c r="C18" s="144">
        <v>-0.1</v>
      </c>
    </row>
    <row r="19" spans="1:5">
      <c r="A19" s="71" t="s">
        <v>96</v>
      </c>
      <c r="B19" s="145">
        <v>27</v>
      </c>
      <c r="C19" s="146">
        <v>-2</v>
      </c>
    </row>
    <row r="20" spans="1:5" ht="15.6">
      <c r="A20" s="24" t="s">
        <v>139</v>
      </c>
      <c r="E20" s="52"/>
    </row>
    <row r="21" spans="1:5" ht="15.6">
      <c r="A21" s="24" t="s">
        <v>64</v>
      </c>
    </row>
    <row r="22" spans="1:5">
      <c r="A22" s="3" t="s">
        <v>163</v>
      </c>
    </row>
    <row r="23" spans="1:5">
      <c r="A23" s="3"/>
    </row>
    <row r="24" spans="1:5">
      <c r="A24" s="3"/>
    </row>
    <row r="25" spans="1:5">
      <c r="A25" s="52"/>
      <c r="B25" s="139"/>
      <c r="C25" s="52"/>
      <c r="D25" s="52"/>
    </row>
  </sheetData>
  <mergeCells count="1">
    <mergeCell ref="A3:A4"/>
  </mergeCells>
  <pageMargins left="0.7" right="0.7" top="0.75" bottom="0.75" header="0.3" footer="0.3"/>
  <pageSetup paperSize="9" scale="9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0E90-38D5-4F7E-8B6A-BB3F754E47BF}">
  <sheetPr>
    <pageSetUpPr fitToPage="1"/>
  </sheetPr>
  <dimension ref="A1:M46"/>
  <sheetViews>
    <sheetView zoomScaleNormal="100" workbookViewId="0"/>
  </sheetViews>
  <sheetFormatPr baseColWidth="10" defaultColWidth="11.44140625" defaultRowHeight="13.2"/>
  <cols>
    <col min="1" max="1" width="19.109375" style="2" customWidth="1"/>
    <col min="2" max="2" width="11.44140625" style="3"/>
    <col min="3" max="4" width="11.44140625" style="2"/>
    <col min="5" max="5" width="11.44140625" style="3"/>
    <col min="6" max="7" width="11.44140625" style="2"/>
    <col min="8" max="8" width="11.44140625" style="3"/>
    <col min="9" max="10" width="11.44140625" style="2"/>
    <col min="11" max="11" width="11.44140625" style="3"/>
    <col min="12" max="16384" width="11.44140625" style="2"/>
  </cols>
  <sheetData>
    <row r="1" spans="1:13">
      <c r="A1" s="15" t="s">
        <v>97</v>
      </c>
    </row>
    <row r="3" spans="1:13" ht="66">
      <c r="A3" s="212" t="s">
        <v>142</v>
      </c>
      <c r="B3" s="72" t="s">
        <v>98</v>
      </c>
      <c r="C3" s="45" t="s">
        <v>1</v>
      </c>
      <c r="D3" s="45" t="s">
        <v>59</v>
      </c>
      <c r="E3" s="72" t="s">
        <v>99</v>
      </c>
      <c r="F3" s="45" t="s">
        <v>1</v>
      </c>
      <c r="G3" s="45" t="s">
        <v>60</v>
      </c>
      <c r="H3" s="72" t="s">
        <v>98</v>
      </c>
      <c r="I3" s="45" t="s">
        <v>1</v>
      </c>
      <c r="J3" s="45" t="s">
        <v>59</v>
      </c>
      <c r="K3" s="72" t="s">
        <v>99</v>
      </c>
      <c r="L3" s="45" t="s">
        <v>1</v>
      </c>
      <c r="M3" s="45" t="s">
        <v>60</v>
      </c>
    </row>
    <row r="4" spans="1:13">
      <c r="A4" s="213"/>
      <c r="B4" s="214" t="s">
        <v>100</v>
      </c>
      <c r="C4" s="215"/>
      <c r="D4" s="215"/>
      <c r="E4" s="215"/>
      <c r="F4" s="215"/>
      <c r="G4" s="215"/>
      <c r="H4" s="216" t="s">
        <v>101</v>
      </c>
      <c r="I4" s="217"/>
      <c r="J4" s="217"/>
      <c r="K4" s="217"/>
      <c r="L4" s="217"/>
      <c r="M4" s="215"/>
    </row>
    <row r="5" spans="1:13">
      <c r="A5" s="73" t="s">
        <v>39</v>
      </c>
      <c r="B5" s="74">
        <v>588435</v>
      </c>
      <c r="C5" s="98">
        <v>129977</v>
      </c>
      <c r="D5" s="76">
        <v>458458</v>
      </c>
      <c r="E5" s="74">
        <v>705528</v>
      </c>
      <c r="F5" s="76">
        <v>129977</v>
      </c>
      <c r="G5" s="76">
        <v>575551</v>
      </c>
      <c r="H5" s="78">
        <v>10.1</v>
      </c>
      <c r="I5" s="80">
        <v>2.2000000000000002</v>
      </c>
      <c r="J5" s="80">
        <v>7.9</v>
      </c>
      <c r="K5" s="78">
        <v>12.1</v>
      </c>
      <c r="L5" s="80">
        <v>2.2000000000000002</v>
      </c>
      <c r="M5" s="80">
        <v>9.9</v>
      </c>
    </row>
    <row r="6" spans="1:13">
      <c r="A6" s="82" t="s">
        <v>40</v>
      </c>
      <c r="B6" s="74">
        <v>613360</v>
      </c>
      <c r="C6" s="98">
        <v>138308</v>
      </c>
      <c r="D6" s="76">
        <v>475052</v>
      </c>
      <c r="E6" s="74">
        <v>706676</v>
      </c>
      <c r="F6" s="76">
        <v>138308</v>
      </c>
      <c r="G6" s="76">
        <v>568369</v>
      </c>
      <c r="H6" s="78">
        <v>10.5</v>
      </c>
      <c r="I6" s="80">
        <v>2.4</v>
      </c>
      <c r="J6" s="80">
        <v>8.1</v>
      </c>
      <c r="K6" s="78">
        <v>12.1</v>
      </c>
      <c r="L6" s="80">
        <v>2.4</v>
      </c>
      <c r="M6" s="80">
        <v>9.6999999999999993</v>
      </c>
    </row>
    <row r="7" spans="1:13">
      <c r="A7" s="82" t="s">
        <v>41</v>
      </c>
      <c r="B7" s="74">
        <v>602912</v>
      </c>
      <c r="C7" s="98">
        <v>139730</v>
      </c>
      <c r="D7" s="76">
        <v>463181</v>
      </c>
      <c r="E7" s="74">
        <v>695876</v>
      </c>
      <c r="F7" s="76">
        <v>139730</v>
      </c>
      <c r="G7" s="76">
        <v>556146</v>
      </c>
      <c r="H7" s="78">
        <v>10.3</v>
      </c>
      <c r="I7" s="80">
        <v>2.4</v>
      </c>
      <c r="J7" s="80">
        <v>7.9</v>
      </c>
      <c r="K7" s="78">
        <v>11.8</v>
      </c>
      <c r="L7" s="80">
        <v>2.4</v>
      </c>
      <c r="M7" s="80">
        <v>9.5</v>
      </c>
    </row>
    <row r="8" spans="1:13">
      <c r="A8" s="82" t="s">
        <v>42</v>
      </c>
      <c r="B8" s="74">
        <v>581084</v>
      </c>
      <c r="C8" s="98">
        <v>138054</v>
      </c>
      <c r="D8" s="76">
        <v>443031</v>
      </c>
      <c r="E8" s="74">
        <v>648711</v>
      </c>
      <c r="F8" s="76">
        <v>138054</v>
      </c>
      <c r="G8" s="76">
        <v>510657</v>
      </c>
      <c r="H8" s="78">
        <v>9.9</v>
      </c>
      <c r="I8" s="80">
        <v>2.2999999999999998</v>
      </c>
      <c r="J8" s="80">
        <v>7.5</v>
      </c>
      <c r="K8" s="78">
        <v>11</v>
      </c>
      <c r="L8" s="80">
        <v>2.2999999999999998</v>
      </c>
      <c r="M8" s="80">
        <v>8.6999999999999993</v>
      </c>
    </row>
    <row r="9" spans="1:13">
      <c r="A9" s="82" t="s">
        <v>43</v>
      </c>
      <c r="B9" s="74">
        <v>573160</v>
      </c>
      <c r="C9" s="98">
        <v>134313</v>
      </c>
      <c r="D9" s="76">
        <v>438847</v>
      </c>
      <c r="E9" s="74">
        <v>644101</v>
      </c>
      <c r="F9" s="76">
        <v>134313</v>
      </c>
      <c r="G9" s="76">
        <v>509788</v>
      </c>
      <c r="H9" s="78">
        <v>9.6999999999999993</v>
      </c>
      <c r="I9" s="80">
        <v>2.2999999999999998</v>
      </c>
      <c r="J9" s="80">
        <v>7.4</v>
      </c>
      <c r="K9" s="78">
        <v>10.9</v>
      </c>
      <c r="L9" s="80">
        <v>2.2999999999999998</v>
      </c>
      <c r="M9" s="80">
        <v>8.6</v>
      </c>
    </row>
    <row r="10" spans="1:13">
      <c r="A10" s="82" t="s">
        <v>44</v>
      </c>
      <c r="B10" s="74">
        <v>579538</v>
      </c>
      <c r="C10" s="98">
        <v>135239</v>
      </c>
      <c r="D10" s="76">
        <v>444299</v>
      </c>
      <c r="E10" s="74">
        <v>664404</v>
      </c>
      <c r="F10" s="76">
        <v>135239</v>
      </c>
      <c r="G10" s="76">
        <v>529165</v>
      </c>
      <c r="H10" s="78">
        <v>9.8000000000000007</v>
      </c>
      <c r="I10" s="80">
        <v>2.2999999999999998</v>
      </c>
      <c r="J10" s="80">
        <v>7.5</v>
      </c>
      <c r="K10" s="78">
        <v>11.2</v>
      </c>
      <c r="L10" s="80">
        <v>2.2999999999999998</v>
      </c>
      <c r="M10" s="80">
        <v>8.9</v>
      </c>
    </row>
    <row r="11" spans="1:13">
      <c r="A11" s="82" t="s">
        <v>45</v>
      </c>
      <c r="B11" s="74">
        <v>598231</v>
      </c>
      <c r="C11" s="98">
        <v>142846</v>
      </c>
      <c r="D11" s="76">
        <v>455385</v>
      </c>
      <c r="E11" s="74">
        <v>673628</v>
      </c>
      <c r="F11" s="76">
        <v>142846</v>
      </c>
      <c r="G11" s="76">
        <v>530781</v>
      </c>
      <c r="H11" s="78">
        <v>10</v>
      </c>
      <c r="I11" s="80">
        <v>2.4</v>
      </c>
      <c r="J11" s="80">
        <v>7.6</v>
      </c>
      <c r="K11" s="78">
        <v>11.3</v>
      </c>
      <c r="L11" s="80">
        <v>2.4</v>
      </c>
      <c r="M11" s="80">
        <v>8.9</v>
      </c>
    </row>
    <row r="12" spans="1:13">
      <c r="A12" s="82" t="s">
        <v>46</v>
      </c>
      <c r="B12" s="74">
        <v>590056</v>
      </c>
      <c r="C12" s="98">
        <v>140210</v>
      </c>
      <c r="D12" s="76">
        <v>449846</v>
      </c>
      <c r="E12" s="74">
        <v>641540</v>
      </c>
      <c r="F12" s="76">
        <v>140210</v>
      </c>
      <c r="G12" s="76">
        <v>501330</v>
      </c>
      <c r="H12" s="78">
        <v>9.9</v>
      </c>
      <c r="I12" s="80">
        <v>2.2999999999999998</v>
      </c>
      <c r="J12" s="80">
        <v>7.5</v>
      </c>
      <c r="K12" s="78">
        <v>10.7</v>
      </c>
      <c r="L12" s="80">
        <v>2.2999999999999998</v>
      </c>
      <c r="M12" s="80">
        <v>8.4</v>
      </c>
    </row>
    <row r="13" spans="1:13">
      <c r="A13" s="82" t="s">
        <v>47</v>
      </c>
      <c r="B13" s="74">
        <v>603349</v>
      </c>
      <c r="C13" s="98">
        <v>144328</v>
      </c>
      <c r="D13" s="76">
        <v>459021</v>
      </c>
      <c r="E13" s="74">
        <v>706014</v>
      </c>
      <c r="F13" s="76">
        <v>144328</v>
      </c>
      <c r="G13" s="76">
        <v>561686</v>
      </c>
      <c r="H13" s="78">
        <v>10.1</v>
      </c>
      <c r="I13" s="80">
        <v>2.4</v>
      </c>
      <c r="J13" s="80">
        <v>7.6</v>
      </c>
      <c r="K13" s="78">
        <v>11.8</v>
      </c>
      <c r="L13" s="80">
        <v>2.4</v>
      </c>
      <c r="M13" s="80">
        <v>9.4</v>
      </c>
    </row>
    <row r="14" spans="1:13">
      <c r="A14" s="82" t="s">
        <v>48</v>
      </c>
      <c r="B14" s="74">
        <v>598751</v>
      </c>
      <c r="C14" s="98">
        <v>146209</v>
      </c>
      <c r="D14" s="76">
        <v>452542</v>
      </c>
      <c r="E14" s="74">
        <v>702053</v>
      </c>
      <c r="F14" s="76">
        <v>146209</v>
      </c>
      <c r="G14" s="76">
        <v>555844</v>
      </c>
      <c r="H14" s="78">
        <v>9.9</v>
      </c>
      <c r="I14" s="80">
        <v>2.4</v>
      </c>
      <c r="J14" s="80">
        <v>7.5</v>
      </c>
      <c r="K14" s="78">
        <v>11.6</v>
      </c>
      <c r="L14" s="80">
        <v>2.4</v>
      </c>
      <c r="M14" s="80">
        <v>9.1999999999999993</v>
      </c>
    </row>
    <row r="15" spans="1:13">
      <c r="A15" s="82" t="s">
        <v>49</v>
      </c>
      <c r="B15" s="74">
        <v>589887</v>
      </c>
      <c r="C15" s="98">
        <v>144650</v>
      </c>
      <c r="D15" s="76">
        <v>445237</v>
      </c>
      <c r="E15" s="74">
        <v>696062</v>
      </c>
      <c r="F15" s="76">
        <v>144650</v>
      </c>
      <c r="G15" s="76">
        <v>551411</v>
      </c>
      <c r="H15" s="78">
        <v>9.6999999999999993</v>
      </c>
      <c r="I15" s="80">
        <v>2.4</v>
      </c>
      <c r="J15" s="80">
        <v>7.3</v>
      </c>
      <c r="K15" s="78">
        <v>11.5</v>
      </c>
      <c r="L15" s="80">
        <v>2.4</v>
      </c>
      <c r="M15" s="80">
        <v>9.1</v>
      </c>
    </row>
    <row r="16" spans="1:13">
      <c r="A16" s="82" t="s">
        <v>50</v>
      </c>
      <c r="B16" s="74">
        <v>595383</v>
      </c>
      <c r="C16" s="98">
        <v>151447</v>
      </c>
      <c r="D16" s="76">
        <v>443935</v>
      </c>
      <c r="E16" s="74">
        <v>704551</v>
      </c>
      <c r="F16" s="76">
        <v>151447</v>
      </c>
      <c r="G16" s="76">
        <v>553104</v>
      </c>
      <c r="H16" s="78">
        <v>9.6999999999999993</v>
      </c>
      <c r="I16" s="80">
        <v>2.5</v>
      </c>
      <c r="J16" s="80">
        <v>7.3</v>
      </c>
      <c r="K16" s="78">
        <v>11.5</v>
      </c>
      <c r="L16" s="80">
        <v>2.5</v>
      </c>
      <c r="M16" s="80">
        <v>9</v>
      </c>
    </row>
    <row r="17" spans="1:13">
      <c r="A17" s="82" t="s">
        <v>51</v>
      </c>
      <c r="B17" s="74">
        <v>588351</v>
      </c>
      <c r="C17" s="98">
        <v>149471</v>
      </c>
      <c r="D17" s="76">
        <v>438879</v>
      </c>
      <c r="E17" s="74">
        <v>707031</v>
      </c>
      <c r="F17" s="76">
        <v>149471</v>
      </c>
      <c r="G17" s="76">
        <v>557560</v>
      </c>
      <c r="H17" s="78">
        <v>9.5</v>
      </c>
      <c r="I17" s="80">
        <v>2.4</v>
      </c>
      <c r="J17" s="80">
        <v>7.1</v>
      </c>
      <c r="K17" s="78">
        <v>11.5</v>
      </c>
      <c r="L17" s="80">
        <v>2.4</v>
      </c>
      <c r="M17" s="80">
        <v>9</v>
      </c>
    </row>
    <row r="18" spans="1:13">
      <c r="A18" s="82" t="s">
        <v>52</v>
      </c>
      <c r="B18" s="74">
        <v>592534</v>
      </c>
      <c r="C18" s="98">
        <v>151601</v>
      </c>
      <c r="D18" s="76">
        <v>440934</v>
      </c>
      <c r="E18" s="74">
        <v>743231</v>
      </c>
      <c r="F18" s="76">
        <v>151601</v>
      </c>
      <c r="G18" s="76">
        <v>591631</v>
      </c>
      <c r="H18" s="78">
        <v>9.5</v>
      </c>
      <c r="I18" s="80">
        <v>2.4</v>
      </c>
      <c r="J18" s="80">
        <v>7.1</v>
      </c>
      <c r="K18" s="78">
        <v>12</v>
      </c>
      <c r="L18" s="80">
        <v>2.4</v>
      </c>
      <c r="M18" s="80">
        <v>9.5</v>
      </c>
    </row>
    <row r="19" spans="1:13">
      <c r="A19" s="82" t="s">
        <v>53</v>
      </c>
      <c r="B19" s="74">
        <v>592225</v>
      </c>
      <c r="C19" s="98">
        <v>154337</v>
      </c>
      <c r="D19" s="76">
        <v>437888</v>
      </c>
      <c r="E19" s="74">
        <v>774275</v>
      </c>
      <c r="F19" s="76">
        <v>154337</v>
      </c>
      <c r="G19" s="76">
        <v>619939</v>
      </c>
      <c r="H19" s="78">
        <v>9.5</v>
      </c>
      <c r="I19" s="80">
        <v>2.5</v>
      </c>
      <c r="J19" s="80">
        <v>7</v>
      </c>
      <c r="K19" s="78">
        <v>12.4</v>
      </c>
      <c r="L19" s="80">
        <v>2.5</v>
      </c>
      <c r="M19" s="80">
        <v>9.9</v>
      </c>
    </row>
    <row r="20" spans="1:13">
      <c r="A20" s="82" t="s">
        <v>54</v>
      </c>
      <c r="B20" s="74">
        <v>593239</v>
      </c>
      <c r="C20" s="98">
        <v>151587</v>
      </c>
      <c r="D20" s="76">
        <v>441652</v>
      </c>
      <c r="E20" s="74">
        <v>787501</v>
      </c>
      <c r="F20" s="76">
        <v>151587</v>
      </c>
      <c r="G20" s="76">
        <v>635913</v>
      </c>
      <c r="H20" s="78">
        <v>9.4</v>
      </c>
      <c r="I20" s="80">
        <v>2.4</v>
      </c>
      <c r="J20" s="80">
        <v>7</v>
      </c>
      <c r="K20" s="78">
        <v>12.5</v>
      </c>
      <c r="L20" s="80">
        <v>2.4</v>
      </c>
      <c r="M20" s="80">
        <v>10.1</v>
      </c>
    </row>
    <row r="21" spans="1:13">
      <c r="A21" s="82" t="s">
        <v>55</v>
      </c>
      <c r="B21" s="74">
        <v>583444</v>
      </c>
      <c r="C21" s="98">
        <v>149313</v>
      </c>
      <c r="D21" s="76">
        <v>434132</v>
      </c>
      <c r="E21" s="74">
        <v>796098</v>
      </c>
      <c r="F21" s="76">
        <v>149313</v>
      </c>
      <c r="G21" s="76">
        <v>646785</v>
      </c>
      <c r="H21" s="78">
        <v>9.1999999999999993</v>
      </c>
      <c r="I21" s="80">
        <v>2.4</v>
      </c>
      <c r="J21" s="80">
        <v>6.8</v>
      </c>
      <c r="K21" s="78">
        <v>12.6</v>
      </c>
      <c r="L21" s="80">
        <v>2.4</v>
      </c>
      <c r="M21" s="80">
        <v>10.199999999999999</v>
      </c>
    </row>
    <row r="22" spans="1:13">
      <c r="A22" s="82" t="s">
        <v>56</v>
      </c>
      <c r="B22" s="74">
        <v>575487</v>
      </c>
      <c r="C22" s="98">
        <v>139774</v>
      </c>
      <c r="D22" s="76">
        <v>435713</v>
      </c>
      <c r="E22" s="74">
        <v>812623</v>
      </c>
      <c r="F22" s="76">
        <v>139774</v>
      </c>
      <c r="G22" s="76">
        <v>672849</v>
      </c>
      <c r="H22" s="78">
        <v>9</v>
      </c>
      <c r="I22" s="80">
        <v>2.2000000000000002</v>
      </c>
      <c r="J22" s="80">
        <v>6.8</v>
      </c>
      <c r="K22" s="78">
        <v>12.7</v>
      </c>
      <c r="L22" s="80">
        <v>2.2000000000000002</v>
      </c>
      <c r="M22" s="80">
        <v>10.6</v>
      </c>
    </row>
    <row r="23" spans="1:13">
      <c r="A23" s="82" t="s">
        <v>57</v>
      </c>
      <c r="B23" s="74">
        <v>571062</v>
      </c>
      <c r="C23" s="98">
        <v>141817</v>
      </c>
      <c r="D23" s="76">
        <v>429245</v>
      </c>
      <c r="E23" s="74">
        <v>821489</v>
      </c>
      <c r="F23" s="76">
        <v>141817</v>
      </c>
      <c r="G23" s="76">
        <v>679672</v>
      </c>
      <c r="H23" s="78">
        <v>8.9</v>
      </c>
      <c r="I23" s="80">
        <v>2.2000000000000002</v>
      </c>
      <c r="J23" s="80">
        <v>6.7</v>
      </c>
      <c r="K23" s="78">
        <v>12.8</v>
      </c>
      <c r="L23" s="80">
        <v>2.2000000000000002</v>
      </c>
      <c r="M23" s="80">
        <v>10.6</v>
      </c>
    </row>
    <row r="24" spans="1:13">
      <c r="A24" s="82" t="s">
        <v>58</v>
      </c>
      <c r="B24" s="74">
        <v>542495</v>
      </c>
      <c r="C24" s="98">
        <v>142582</v>
      </c>
      <c r="D24" s="76">
        <v>399914</v>
      </c>
      <c r="E24" s="74">
        <v>752325</v>
      </c>
      <c r="F24" s="76">
        <v>142582</v>
      </c>
      <c r="G24" s="76">
        <v>609743</v>
      </c>
      <c r="H24" s="78">
        <v>8.4</v>
      </c>
      <c r="I24" s="80">
        <v>2.2000000000000002</v>
      </c>
      <c r="J24" s="80">
        <v>6.2</v>
      </c>
      <c r="K24" s="78">
        <v>11.7</v>
      </c>
      <c r="L24" s="80">
        <v>2.2000000000000002</v>
      </c>
      <c r="M24" s="80">
        <v>9.5</v>
      </c>
    </row>
    <row r="25" spans="1:13">
      <c r="A25" s="82" t="s">
        <v>11</v>
      </c>
      <c r="B25" s="74">
        <v>547319</v>
      </c>
      <c r="C25" s="98">
        <v>140898</v>
      </c>
      <c r="D25" s="76">
        <v>406421</v>
      </c>
      <c r="E25" s="74">
        <v>753986</v>
      </c>
      <c r="F25" s="76">
        <v>140898</v>
      </c>
      <c r="G25" s="76">
        <v>613087</v>
      </c>
      <c r="H25" s="78">
        <v>8.5</v>
      </c>
      <c r="I25" s="80">
        <v>2.2000000000000002</v>
      </c>
      <c r="J25" s="80">
        <v>6.3</v>
      </c>
      <c r="K25" s="78">
        <v>11.6</v>
      </c>
      <c r="L25" s="80">
        <v>2.2000000000000002</v>
      </c>
      <c r="M25" s="80">
        <v>9.5</v>
      </c>
    </row>
    <row r="26" spans="1:13">
      <c r="A26" s="82" t="s">
        <v>12</v>
      </c>
      <c r="B26" s="74">
        <v>522242</v>
      </c>
      <c r="C26" s="98">
        <v>134559</v>
      </c>
      <c r="D26" s="76">
        <v>387683</v>
      </c>
      <c r="E26" s="74">
        <v>744973</v>
      </c>
      <c r="F26" s="76">
        <v>134559</v>
      </c>
      <c r="G26" s="76">
        <v>610414</v>
      </c>
      <c r="H26" s="78">
        <v>8</v>
      </c>
      <c r="I26" s="80">
        <v>2.1</v>
      </c>
      <c r="J26" s="80">
        <v>6</v>
      </c>
      <c r="K26" s="78">
        <v>11.5</v>
      </c>
      <c r="L26" s="80">
        <v>2.1</v>
      </c>
      <c r="M26" s="80">
        <v>9.4</v>
      </c>
    </row>
    <row r="27" spans="1:13">
      <c r="A27" s="82" t="s">
        <v>13</v>
      </c>
      <c r="B27" s="74">
        <v>525048</v>
      </c>
      <c r="C27" s="98">
        <v>139057</v>
      </c>
      <c r="D27" s="76">
        <v>385991</v>
      </c>
      <c r="E27" s="74">
        <v>722787</v>
      </c>
      <c r="F27" s="76">
        <v>139057</v>
      </c>
      <c r="G27" s="76">
        <v>583730</v>
      </c>
      <c r="H27" s="78">
        <v>8</v>
      </c>
      <c r="I27" s="80">
        <v>2.1</v>
      </c>
      <c r="J27" s="80">
        <v>5.9</v>
      </c>
      <c r="K27" s="78">
        <v>11.1</v>
      </c>
      <c r="L27" s="80">
        <v>2.1</v>
      </c>
      <c r="M27" s="80">
        <v>8.9</v>
      </c>
    </row>
    <row r="28" spans="1:13">
      <c r="A28" s="82" t="s">
        <v>14</v>
      </c>
      <c r="B28" s="74">
        <v>522279</v>
      </c>
      <c r="C28" s="98">
        <v>140470</v>
      </c>
      <c r="D28" s="76">
        <v>381809</v>
      </c>
      <c r="E28" s="74">
        <v>715067</v>
      </c>
      <c r="F28" s="76">
        <v>140470</v>
      </c>
      <c r="G28" s="76">
        <v>574596</v>
      </c>
      <c r="H28" s="78">
        <v>8</v>
      </c>
      <c r="I28" s="80">
        <v>2.1</v>
      </c>
      <c r="J28" s="80">
        <v>5.8</v>
      </c>
      <c r="K28" s="78">
        <v>10.9</v>
      </c>
      <c r="L28" s="80">
        <v>2.1</v>
      </c>
      <c r="M28" s="80">
        <v>8.6999999999999993</v>
      </c>
    </row>
    <row r="29" spans="1:13">
      <c r="A29" s="82" t="s">
        <v>15</v>
      </c>
      <c r="B29" s="74">
        <v>487855</v>
      </c>
      <c r="C29" s="98">
        <v>126461</v>
      </c>
      <c r="D29" s="76">
        <v>361394</v>
      </c>
      <c r="E29" s="74">
        <v>679537</v>
      </c>
      <c r="F29" s="76">
        <v>126461</v>
      </c>
      <c r="G29" s="76">
        <v>553076</v>
      </c>
      <c r="H29" s="78">
        <v>7.4</v>
      </c>
      <c r="I29" s="80">
        <v>1.9</v>
      </c>
      <c r="J29" s="80">
        <v>5.5</v>
      </c>
      <c r="K29" s="78">
        <v>10.3</v>
      </c>
      <c r="L29" s="80">
        <v>1.9</v>
      </c>
      <c r="M29" s="80">
        <v>8.4</v>
      </c>
    </row>
    <row r="30" spans="1:13">
      <c r="A30" s="82" t="s">
        <v>16</v>
      </c>
      <c r="B30" s="74">
        <v>490193</v>
      </c>
      <c r="C30" s="98">
        <v>129753</v>
      </c>
      <c r="D30" s="76">
        <v>360440</v>
      </c>
      <c r="E30" s="74">
        <v>651446</v>
      </c>
      <c r="F30" s="76">
        <v>129753</v>
      </c>
      <c r="G30" s="76">
        <v>521693</v>
      </c>
      <c r="H30" s="78">
        <v>7.4</v>
      </c>
      <c r="I30" s="80">
        <v>2</v>
      </c>
      <c r="J30" s="80">
        <v>5.4</v>
      </c>
      <c r="K30" s="78">
        <v>9.8000000000000007</v>
      </c>
      <c r="L30" s="80">
        <v>2</v>
      </c>
      <c r="M30" s="80">
        <v>7.9</v>
      </c>
    </row>
    <row r="31" spans="1:13">
      <c r="A31" s="82" t="s">
        <v>17</v>
      </c>
      <c r="B31" s="74">
        <v>491460</v>
      </c>
      <c r="C31" s="98">
        <v>132175</v>
      </c>
      <c r="D31" s="76">
        <v>359286</v>
      </c>
      <c r="E31" s="74">
        <v>652277</v>
      </c>
      <c r="F31" s="76">
        <v>132175</v>
      </c>
      <c r="G31" s="76">
        <v>520103</v>
      </c>
      <c r="H31" s="78">
        <v>7.4</v>
      </c>
      <c r="I31" s="80">
        <v>2</v>
      </c>
      <c r="J31" s="80">
        <v>5.4</v>
      </c>
      <c r="K31" s="78">
        <v>9.8000000000000007</v>
      </c>
      <c r="L31" s="80">
        <v>2</v>
      </c>
      <c r="M31" s="80">
        <v>7.8</v>
      </c>
    </row>
    <row r="32" spans="1:13">
      <c r="A32" s="82" t="s">
        <v>18</v>
      </c>
      <c r="B32" s="74">
        <v>498868</v>
      </c>
      <c r="C32" s="98">
        <v>129661</v>
      </c>
      <c r="D32" s="76">
        <v>369207</v>
      </c>
      <c r="E32" s="74">
        <v>659773</v>
      </c>
      <c r="F32" s="76">
        <v>129661</v>
      </c>
      <c r="G32" s="76">
        <v>530112</v>
      </c>
      <c r="H32" s="78">
        <v>7.5</v>
      </c>
      <c r="I32" s="80">
        <v>1.9</v>
      </c>
      <c r="J32" s="80">
        <v>5.5</v>
      </c>
      <c r="K32" s="78">
        <v>9.9</v>
      </c>
      <c r="L32" s="80">
        <v>1.9</v>
      </c>
      <c r="M32" s="80">
        <v>7.9</v>
      </c>
    </row>
    <row r="33" spans="1:13">
      <c r="A33" s="82" t="s">
        <v>19</v>
      </c>
      <c r="B33" s="74">
        <v>481362</v>
      </c>
      <c r="C33" s="98">
        <v>122997</v>
      </c>
      <c r="D33" s="76">
        <v>358365</v>
      </c>
      <c r="E33" s="74">
        <v>657176</v>
      </c>
      <c r="F33" s="76">
        <v>122997</v>
      </c>
      <c r="G33" s="76">
        <v>534179</v>
      </c>
      <c r="H33" s="78">
        <v>7.2</v>
      </c>
      <c r="I33" s="80">
        <v>1.8</v>
      </c>
      <c r="J33" s="80">
        <v>5.3</v>
      </c>
      <c r="K33" s="78">
        <v>9.8000000000000007</v>
      </c>
      <c r="L33" s="80">
        <v>1.8</v>
      </c>
      <c r="M33" s="80">
        <v>8</v>
      </c>
    </row>
    <row r="34" spans="1:13">
      <c r="A34" s="82" t="s">
        <v>8</v>
      </c>
      <c r="B34" s="74">
        <v>471967</v>
      </c>
      <c r="C34" s="98">
        <v>120832</v>
      </c>
      <c r="D34" s="76">
        <v>351135</v>
      </c>
      <c r="E34" s="74">
        <v>639121</v>
      </c>
      <c r="F34" s="76">
        <v>120832</v>
      </c>
      <c r="G34" s="76">
        <v>518289</v>
      </c>
      <c r="H34" s="78">
        <v>7</v>
      </c>
      <c r="I34" s="80">
        <v>1.8</v>
      </c>
      <c r="J34" s="80">
        <v>5.2</v>
      </c>
      <c r="K34" s="78">
        <v>9.5</v>
      </c>
      <c r="L34" s="80">
        <v>1.8</v>
      </c>
      <c r="M34" s="80">
        <v>7.7</v>
      </c>
    </row>
    <row r="35" spans="1:13">
      <c r="A35" s="82" t="s">
        <v>9</v>
      </c>
      <c r="B35" s="74">
        <v>423615</v>
      </c>
      <c r="C35" s="98">
        <v>106770</v>
      </c>
      <c r="D35" s="76">
        <v>316845</v>
      </c>
      <c r="E35" s="74">
        <v>582034</v>
      </c>
      <c r="F35" s="76">
        <v>106770</v>
      </c>
      <c r="G35" s="76">
        <v>475264</v>
      </c>
      <c r="H35" s="78">
        <v>6.3</v>
      </c>
      <c r="I35" s="80">
        <v>1.6</v>
      </c>
      <c r="J35" s="80">
        <v>4.7</v>
      </c>
      <c r="K35" s="78">
        <v>8.6</v>
      </c>
      <c r="L35" s="80">
        <v>1.6</v>
      </c>
      <c r="M35" s="80">
        <v>7</v>
      </c>
    </row>
    <row r="36" spans="1:13">
      <c r="A36" s="82" t="s">
        <v>10</v>
      </c>
      <c r="B36" s="74">
        <v>450240</v>
      </c>
      <c r="C36" s="98">
        <v>115330</v>
      </c>
      <c r="D36" s="76">
        <v>334910</v>
      </c>
      <c r="E36" s="74">
        <v>624844</v>
      </c>
      <c r="F36" s="76">
        <v>115330</v>
      </c>
      <c r="G36" s="76">
        <v>509515</v>
      </c>
      <c r="H36" s="78">
        <v>6.6</v>
      </c>
      <c r="I36" s="80">
        <v>1.7</v>
      </c>
      <c r="J36" s="80">
        <v>4.9000000000000004</v>
      </c>
      <c r="K36" s="78">
        <v>9.1999999999999993</v>
      </c>
      <c r="L36" s="80">
        <v>1.7</v>
      </c>
      <c r="M36" s="80">
        <v>7.5</v>
      </c>
    </row>
    <row r="37" spans="1:13">
      <c r="A37" s="82" t="s">
        <v>25</v>
      </c>
      <c r="B37" s="74">
        <v>437195</v>
      </c>
      <c r="C37" s="98">
        <v>108901</v>
      </c>
      <c r="D37" s="76">
        <v>328294</v>
      </c>
      <c r="E37" s="74">
        <v>629655</v>
      </c>
      <c r="F37" s="76">
        <v>108901</v>
      </c>
      <c r="G37" s="76">
        <v>520754</v>
      </c>
      <c r="H37" s="78">
        <v>6.4</v>
      </c>
      <c r="I37" s="80">
        <v>1.6</v>
      </c>
      <c r="J37" s="80">
        <v>4.8</v>
      </c>
      <c r="K37" s="78">
        <v>9.1999999999999993</v>
      </c>
      <c r="L37" s="80">
        <v>1.6</v>
      </c>
      <c r="M37" s="80">
        <v>7.6</v>
      </c>
    </row>
    <row r="38" spans="1:13">
      <c r="A38" s="82" t="s">
        <v>32</v>
      </c>
      <c r="B38" s="74">
        <v>410814</v>
      </c>
      <c r="C38" s="98">
        <v>102442</v>
      </c>
      <c r="D38" s="76">
        <v>308372</v>
      </c>
      <c r="E38" s="74">
        <v>590408</v>
      </c>
      <c r="F38" s="76">
        <v>102442</v>
      </c>
      <c r="G38" s="76">
        <v>487966</v>
      </c>
      <c r="H38" s="78">
        <v>6</v>
      </c>
      <c r="I38" s="80">
        <v>1.5</v>
      </c>
      <c r="J38" s="80">
        <v>4.5</v>
      </c>
      <c r="K38" s="78">
        <v>8.6</v>
      </c>
      <c r="L38" s="80">
        <v>1.5</v>
      </c>
      <c r="M38" s="80">
        <v>7.1</v>
      </c>
    </row>
    <row r="39" spans="1:13">
      <c r="A39" s="82" t="s">
        <v>62</v>
      </c>
      <c r="B39" s="74">
        <v>404670</v>
      </c>
      <c r="C39" s="98">
        <v>101295</v>
      </c>
      <c r="D39" s="76">
        <v>303375</v>
      </c>
      <c r="E39" s="74">
        <v>574689</v>
      </c>
      <c r="F39" s="76">
        <v>101295</v>
      </c>
      <c r="G39" s="76">
        <v>473394</v>
      </c>
      <c r="H39" s="78">
        <v>5.9</v>
      </c>
      <c r="I39" s="80">
        <v>1.5</v>
      </c>
      <c r="J39" s="80">
        <v>4.4000000000000004</v>
      </c>
      <c r="K39" s="78">
        <v>8.4</v>
      </c>
      <c r="L39" s="80">
        <v>1.5</v>
      </c>
      <c r="M39" s="80">
        <v>6.9</v>
      </c>
    </row>
    <row r="40" spans="1:13">
      <c r="A40" s="83" t="s">
        <v>77</v>
      </c>
      <c r="B40" s="75">
        <v>397914</v>
      </c>
      <c r="C40" s="99">
        <v>99985</v>
      </c>
      <c r="D40" s="77">
        <v>297929</v>
      </c>
      <c r="E40" s="75">
        <v>571040</v>
      </c>
      <c r="F40" s="77">
        <v>99985</v>
      </c>
      <c r="G40" s="77">
        <v>471055</v>
      </c>
      <c r="H40" s="79">
        <v>5.8</v>
      </c>
      <c r="I40" s="81">
        <v>1.4</v>
      </c>
      <c r="J40" s="81">
        <v>4.3</v>
      </c>
      <c r="K40" s="79">
        <v>8.3000000000000007</v>
      </c>
      <c r="L40" s="81">
        <v>1.4</v>
      </c>
      <c r="M40" s="81">
        <v>6.8</v>
      </c>
    </row>
    <row r="41" spans="1:13" ht="15.6">
      <c r="A41" s="24" t="s">
        <v>164</v>
      </c>
    </row>
    <row r="42" spans="1:13" ht="15.6">
      <c r="A42" s="24" t="s">
        <v>102</v>
      </c>
    </row>
    <row r="43" spans="1:13">
      <c r="A43" s="3" t="s">
        <v>79</v>
      </c>
    </row>
    <row r="45" spans="1:13">
      <c r="F45" s="162"/>
    </row>
    <row r="46" spans="1:13">
      <c r="F46" s="163"/>
    </row>
  </sheetData>
  <mergeCells count="3">
    <mergeCell ref="A3:A4"/>
    <mergeCell ref="B4:G4"/>
    <mergeCell ref="H4:M4"/>
  </mergeCells>
  <phoneticPr fontId="21" type="noConversion"/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2632-B102-460A-8F81-2331812EA129}">
  <sheetPr>
    <pageSetUpPr fitToPage="1"/>
  </sheetPr>
  <dimension ref="A1:T49"/>
  <sheetViews>
    <sheetView zoomScaleNormal="100" workbookViewId="0"/>
  </sheetViews>
  <sheetFormatPr baseColWidth="10" defaultColWidth="11.5546875" defaultRowHeight="14.4"/>
  <cols>
    <col min="1" max="1" width="61.6640625" style="85" customWidth="1"/>
    <col min="2" max="2" width="15.6640625" style="85" customWidth="1"/>
    <col min="3" max="5" width="10.6640625" style="85" customWidth="1"/>
    <col min="6" max="6" width="34.6640625" style="85" bestFit="1" customWidth="1"/>
    <col min="7" max="12" width="10.6640625" style="85" customWidth="1"/>
    <col min="13" max="20" width="11.5546875" style="85"/>
    <col min="21" max="16384" width="11.5546875" style="91"/>
  </cols>
  <sheetData>
    <row r="1" spans="1:11" s="85" customFormat="1" ht="13.2">
      <c r="A1" s="84" t="s">
        <v>135</v>
      </c>
      <c r="B1" s="84"/>
      <c r="D1" s="86"/>
    </row>
    <row r="2" spans="1:11" s="85" customFormat="1" ht="13.2">
      <c r="A2" s="84"/>
      <c r="B2" s="84"/>
      <c r="D2" s="86"/>
      <c r="F2" s="147"/>
      <c r="G2" s="147"/>
      <c r="H2" s="147"/>
      <c r="I2" s="147"/>
      <c r="J2" s="147"/>
      <c r="K2" s="147"/>
    </row>
    <row r="3" spans="1:11" s="85" customFormat="1" ht="15.6">
      <c r="A3" s="87" t="s">
        <v>103</v>
      </c>
      <c r="B3" s="88" t="s">
        <v>158</v>
      </c>
      <c r="C3" s="89" t="s">
        <v>3</v>
      </c>
      <c r="D3" s="90"/>
      <c r="F3" s="147"/>
      <c r="G3" s="147"/>
      <c r="H3" s="147"/>
      <c r="I3" s="52"/>
      <c r="J3" s="147"/>
      <c r="K3" s="147"/>
    </row>
    <row r="4" spans="1:11">
      <c r="A4" s="92" t="s">
        <v>104</v>
      </c>
      <c r="B4" s="93"/>
      <c r="C4" s="94"/>
      <c r="F4" s="52"/>
      <c r="G4" s="147"/>
      <c r="H4" s="147"/>
      <c r="I4" s="147"/>
      <c r="J4" s="147"/>
      <c r="K4" s="147"/>
    </row>
    <row r="5" spans="1:11">
      <c r="A5" s="95" t="s">
        <v>105</v>
      </c>
      <c r="B5" s="158">
        <v>89</v>
      </c>
      <c r="C5" s="159">
        <v>15.5</v>
      </c>
    </row>
    <row r="6" spans="1:11">
      <c r="A6" s="95" t="s">
        <v>106</v>
      </c>
      <c r="B6" s="158">
        <v>58</v>
      </c>
      <c r="C6" s="159">
        <v>10.1</v>
      </c>
    </row>
    <row r="7" spans="1:11">
      <c r="A7" s="95" t="s">
        <v>107</v>
      </c>
      <c r="B7" s="158">
        <v>121</v>
      </c>
      <c r="C7" s="159">
        <v>21.2</v>
      </c>
    </row>
    <row r="8" spans="1:11">
      <c r="A8" s="95" t="s">
        <v>108</v>
      </c>
      <c r="B8" s="158">
        <v>77</v>
      </c>
      <c r="C8" s="159">
        <v>13.4</v>
      </c>
    </row>
    <row r="9" spans="1:11">
      <c r="A9" s="95" t="s">
        <v>109</v>
      </c>
      <c r="B9" s="158">
        <v>28</v>
      </c>
      <c r="C9" s="159">
        <v>4.8</v>
      </c>
    </row>
    <row r="10" spans="1:11">
      <c r="A10" s="95" t="s">
        <v>93</v>
      </c>
      <c r="B10" s="158">
        <v>9</v>
      </c>
      <c r="C10" s="159">
        <v>1.6</v>
      </c>
    </row>
    <row r="11" spans="1:11">
      <c r="A11" s="95" t="s">
        <v>110</v>
      </c>
      <c r="B11" s="158">
        <v>11</v>
      </c>
      <c r="C11" s="159">
        <v>2</v>
      </c>
    </row>
    <row r="12" spans="1:11">
      <c r="A12" s="95" t="s">
        <v>111</v>
      </c>
      <c r="B12" s="158">
        <v>54</v>
      </c>
      <c r="C12" s="159">
        <v>9.4</v>
      </c>
    </row>
    <row r="13" spans="1:11">
      <c r="A13" s="95" t="s">
        <v>112</v>
      </c>
      <c r="B13" s="158">
        <v>25</v>
      </c>
      <c r="C13" s="159">
        <v>4.4000000000000004</v>
      </c>
    </row>
    <row r="14" spans="1:11">
      <c r="A14" s="95" t="s">
        <v>113</v>
      </c>
      <c r="B14" s="158">
        <v>100</v>
      </c>
      <c r="C14" s="159">
        <v>17.5</v>
      </c>
    </row>
    <row r="15" spans="1:11">
      <c r="A15" s="96" t="s">
        <v>114</v>
      </c>
      <c r="B15" s="158"/>
      <c r="C15" s="159"/>
    </row>
    <row r="16" spans="1:11">
      <c r="A16" s="95" t="s">
        <v>105</v>
      </c>
      <c r="B16" s="158">
        <v>34</v>
      </c>
      <c r="C16" s="159">
        <v>6</v>
      </c>
    </row>
    <row r="17" spans="1:3">
      <c r="A17" s="95" t="s">
        <v>106</v>
      </c>
      <c r="B17" s="158">
        <v>0</v>
      </c>
      <c r="C17" s="159">
        <v>-0.1</v>
      </c>
    </row>
    <row r="18" spans="1:3">
      <c r="A18" s="95" t="s">
        <v>107</v>
      </c>
      <c r="B18" s="158">
        <v>197</v>
      </c>
      <c r="C18" s="159">
        <v>34.5</v>
      </c>
    </row>
    <row r="19" spans="1:3">
      <c r="A19" s="95" t="s">
        <v>108</v>
      </c>
      <c r="B19" s="158">
        <v>20</v>
      </c>
      <c r="C19" s="159">
        <v>3.5</v>
      </c>
    </row>
    <row r="20" spans="1:3">
      <c r="A20" s="95" t="s">
        <v>109</v>
      </c>
      <c r="B20" s="158">
        <v>10</v>
      </c>
      <c r="C20" s="159">
        <v>1.7</v>
      </c>
    </row>
    <row r="21" spans="1:3">
      <c r="A21" s="95" t="s">
        <v>93</v>
      </c>
      <c r="B21" s="158">
        <v>61</v>
      </c>
      <c r="C21" s="159">
        <v>10.7</v>
      </c>
    </row>
    <row r="22" spans="1:3">
      <c r="A22" s="95" t="s">
        <v>110</v>
      </c>
      <c r="B22" s="158">
        <v>1</v>
      </c>
      <c r="C22" s="159">
        <v>0.1</v>
      </c>
    </row>
    <row r="23" spans="1:3">
      <c r="A23" s="95" t="s">
        <v>111</v>
      </c>
      <c r="B23" s="158">
        <v>27</v>
      </c>
      <c r="C23" s="159">
        <v>4.7</v>
      </c>
    </row>
    <row r="24" spans="1:3">
      <c r="A24" s="95" t="s">
        <v>112</v>
      </c>
      <c r="B24" s="158">
        <v>122</v>
      </c>
      <c r="C24" s="159">
        <v>21.3</v>
      </c>
    </row>
    <row r="25" spans="1:3">
      <c r="A25" s="95" t="s">
        <v>113</v>
      </c>
      <c r="B25" s="158">
        <v>100</v>
      </c>
      <c r="C25" s="159">
        <v>17.5</v>
      </c>
    </row>
    <row r="26" spans="1:3">
      <c r="A26" s="96" t="s">
        <v>115</v>
      </c>
      <c r="B26" s="158"/>
      <c r="C26" s="159"/>
    </row>
    <row r="27" spans="1:3">
      <c r="A27" s="95" t="s">
        <v>116</v>
      </c>
      <c r="B27" s="158">
        <v>275</v>
      </c>
      <c r="C27" s="159">
        <v>48.2</v>
      </c>
    </row>
    <row r="28" spans="1:3">
      <c r="A28" s="95" t="s">
        <v>117</v>
      </c>
      <c r="B28" s="158">
        <v>16</v>
      </c>
      <c r="C28" s="159">
        <v>2.8</v>
      </c>
    </row>
    <row r="29" spans="1:3">
      <c r="A29" s="95" t="s">
        <v>118</v>
      </c>
      <c r="B29" s="158">
        <v>52</v>
      </c>
      <c r="C29" s="159">
        <v>9.1</v>
      </c>
    </row>
    <row r="30" spans="1:3">
      <c r="A30" s="95" t="s">
        <v>119</v>
      </c>
      <c r="B30" s="158">
        <v>59</v>
      </c>
      <c r="C30" s="159">
        <v>10.4</v>
      </c>
    </row>
    <row r="31" spans="1:3">
      <c r="A31" s="95" t="s">
        <v>120</v>
      </c>
      <c r="B31" s="158">
        <v>14</v>
      </c>
      <c r="C31" s="159">
        <v>2.4</v>
      </c>
    </row>
    <row r="32" spans="1:3">
      <c r="A32" s="95" t="s">
        <v>121</v>
      </c>
      <c r="B32" s="158">
        <v>21</v>
      </c>
      <c r="C32" s="159">
        <v>3.8</v>
      </c>
    </row>
    <row r="33" spans="1:3">
      <c r="A33" s="95" t="s">
        <v>122</v>
      </c>
      <c r="B33" s="158">
        <v>134</v>
      </c>
      <c r="C33" s="159">
        <v>23.4</v>
      </c>
    </row>
    <row r="34" spans="1:3">
      <c r="A34" s="96" t="s">
        <v>123</v>
      </c>
      <c r="B34" s="158"/>
      <c r="C34" s="159"/>
    </row>
    <row r="35" spans="1:3">
      <c r="A35" s="95" t="s">
        <v>124</v>
      </c>
      <c r="B35" s="158">
        <v>143</v>
      </c>
      <c r="C35" s="159">
        <v>25</v>
      </c>
    </row>
    <row r="36" spans="1:3">
      <c r="A36" s="95" t="s">
        <v>125</v>
      </c>
      <c r="B36" s="158">
        <v>134</v>
      </c>
      <c r="C36" s="159">
        <v>23.5</v>
      </c>
    </row>
    <row r="37" spans="1:3">
      <c r="A37" s="95" t="s">
        <v>126</v>
      </c>
      <c r="B37" s="158">
        <v>117</v>
      </c>
      <c r="C37" s="159">
        <v>20.399999999999999</v>
      </c>
    </row>
    <row r="38" spans="1:3">
      <c r="A38" s="95" t="s">
        <v>127</v>
      </c>
      <c r="B38" s="158">
        <v>72</v>
      </c>
      <c r="C38" s="159">
        <v>12.6</v>
      </c>
    </row>
    <row r="39" spans="1:3">
      <c r="A39" s="95" t="s">
        <v>128</v>
      </c>
      <c r="B39" s="158">
        <v>55</v>
      </c>
      <c r="C39" s="159">
        <v>9.6</v>
      </c>
    </row>
    <row r="40" spans="1:3">
      <c r="A40" s="95" t="s">
        <v>129</v>
      </c>
      <c r="B40" s="158">
        <v>51</v>
      </c>
      <c r="C40" s="159">
        <v>8.9</v>
      </c>
    </row>
    <row r="41" spans="1:3">
      <c r="A41" s="96" t="s">
        <v>130</v>
      </c>
      <c r="B41" s="158"/>
      <c r="C41" s="159"/>
    </row>
    <row r="42" spans="1:3">
      <c r="A42" s="95" t="s">
        <v>131</v>
      </c>
      <c r="B42" s="158">
        <v>179</v>
      </c>
      <c r="C42" s="159">
        <v>31.4</v>
      </c>
    </row>
    <row r="43" spans="1:3">
      <c r="A43" s="95" t="s">
        <v>132</v>
      </c>
      <c r="B43" s="158">
        <v>175</v>
      </c>
      <c r="C43" s="159">
        <v>30.7</v>
      </c>
    </row>
    <row r="44" spans="1:3">
      <c r="A44" s="95" t="s">
        <v>133</v>
      </c>
      <c r="B44" s="158">
        <v>116</v>
      </c>
      <c r="C44" s="159">
        <v>20.399999999999999</v>
      </c>
    </row>
    <row r="45" spans="1:3">
      <c r="A45" s="95" t="s">
        <v>1</v>
      </c>
      <c r="B45" s="158">
        <v>100</v>
      </c>
      <c r="C45" s="159">
        <v>17.5</v>
      </c>
    </row>
    <row r="46" spans="1:3">
      <c r="A46" s="97" t="s">
        <v>134</v>
      </c>
      <c r="B46" s="160">
        <v>571</v>
      </c>
      <c r="C46" s="161">
        <v>100</v>
      </c>
    </row>
    <row r="47" spans="1:3" ht="29.1" customHeight="1">
      <c r="A47" s="218" t="s">
        <v>140</v>
      </c>
      <c r="B47" s="218"/>
      <c r="C47" s="218"/>
    </row>
    <row r="48" spans="1:3" ht="15.6">
      <c r="A48" s="24" t="s">
        <v>64</v>
      </c>
    </row>
    <row r="49" spans="1:1">
      <c r="A49" s="3" t="s">
        <v>79</v>
      </c>
    </row>
  </sheetData>
  <mergeCells count="1">
    <mergeCell ref="A47:C47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5</vt:i4>
      </vt:variant>
    </vt:vector>
  </HeadingPairs>
  <TitlesOfParts>
    <vt:vector size="13" baseType="lpstr">
      <vt:lpstr>Sommaire</vt:lpstr>
      <vt:lpstr>Figure 1</vt:lpstr>
      <vt:lpstr>Figure 2</vt:lpstr>
      <vt:lpstr>Figure 3</vt:lpstr>
      <vt:lpstr>Figure 4</vt:lpstr>
      <vt:lpstr>Tableau complémentaire 1</vt:lpstr>
      <vt:lpstr>Tableau complémentaire 2</vt:lpstr>
      <vt:lpstr>Tableau complémentaire 3</vt:lpstr>
      <vt:lpstr>'Figure 1'!Zone_d_impression</vt:lpstr>
      <vt:lpstr>'Figure 2'!Zone_d_impression</vt:lpstr>
      <vt:lpstr>'Figure 3'!Zone_d_impression</vt:lpstr>
      <vt:lpstr>'Figure 4'!Zone_d_impression</vt:lpstr>
      <vt:lpstr>'Tableau complémentaire 3'!Zone_d_impression</vt:lpstr>
    </vt:vector>
  </TitlesOfParts>
  <Company>MTECT-MTE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BAUDE Manuel</dc:creator>
  <cp:lastModifiedBy>Rathle Jean-Philippe</cp:lastModifiedBy>
  <cp:lastPrinted>2026-09-23T07:03:00Z</cp:lastPrinted>
  <dcterms:created xsi:type="dcterms:W3CDTF">2024-09-18T11:45:44Z</dcterms:created>
  <dcterms:modified xsi:type="dcterms:W3CDTF">2026-10-12T06:36:53Z</dcterms:modified>
</cp:coreProperties>
</file>